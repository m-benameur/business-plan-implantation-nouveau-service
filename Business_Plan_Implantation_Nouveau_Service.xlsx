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166925"/>
  <mc:AlternateContent xmlns:mc="http://schemas.openxmlformats.org/markup-compatibility/2006">
    <mc:Choice Requires="x15">
      <x15ac:absPath xmlns:x15ac="http://schemas.microsoft.com/office/spreadsheetml/2010/11/ac" url="/Users/benameur/Desktop/"/>
    </mc:Choice>
  </mc:AlternateContent>
  <xr:revisionPtr revIDLastSave="0" documentId="8_{E00E375F-5022-F945-BFD7-CDCA172F5CA1}" xr6:coauthVersionLast="47" xr6:coauthVersionMax="47" xr10:uidLastSave="{00000000-0000-0000-0000-000000000000}"/>
  <bookViews>
    <workbookView xWindow="0" yWindow="740" windowWidth="29400" windowHeight="18380" tabRatio="429" xr2:uid="{086B9F63-E737-43FD-9C37-3075E8407E32}"/>
  </bookViews>
  <sheets>
    <sheet name="Compte de résultat" sheetId="1" r:id="rId1"/>
    <sheet name="Seuil de rentabilité" sheetId="10" r:id="rId2"/>
    <sheet name="Compte de résultat Hyphotèse P" sheetId="8" r:id="rId3"/>
    <sheet name="Compte de résultat H Optimiste" sheetId="9" r:id="rId4"/>
    <sheet name="Amortissement" sheetId="2" r:id="rId5"/>
    <sheet name="Plan de financement" sheetId="3" r:id="rId6"/>
    <sheet name="Plan de trésorerie N" sheetId="5" r:id="rId7"/>
    <sheet name="Plan de trésorerie N+1" sheetId="6" r:id="rId8"/>
    <sheet name="Plan de trésorerie N+2" sheetId="7"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2" i="10" l="1"/>
  <c r="B7" i="10"/>
  <c r="B6" i="10"/>
  <c r="B5" i="10"/>
  <c r="B4" i="10"/>
  <c r="B2" i="10"/>
  <c r="B3" i="10"/>
  <c r="G14" i="1"/>
  <c r="C18" i="1"/>
  <c r="D14" i="1"/>
  <c r="E14" i="1"/>
  <c r="C14" i="1"/>
  <c r="D26" i="9"/>
  <c r="E26" i="9"/>
  <c r="D26" i="8"/>
  <c r="E26" i="8"/>
  <c r="C28" i="8"/>
  <c r="D10" i="9"/>
  <c r="E10" i="9"/>
  <c r="C10" i="9"/>
  <c r="E60" i="9"/>
  <c r="D60" i="9"/>
  <c r="C60" i="9"/>
  <c r="E52" i="9"/>
  <c r="D52" i="9"/>
  <c r="C52" i="9"/>
  <c r="E28" i="9"/>
  <c r="D28" i="9"/>
  <c r="C28" i="9"/>
  <c r="E44" i="9"/>
  <c r="D44" i="9"/>
  <c r="C44" i="9"/>
  <c r="J5" i="9"/>
  <c r="I5" i="9"/>
  <c r="H5" i="9"/>
  <c r="G66" i="9"/>
  <c r="C65" i="9" s="1"/>
  <c r="C58" i="9"/>
  <c r="C59" i="9" s="1"/>
  <c r="E55" i="9"/>
  <c r="E58" i="9" s="1"/>
  <c r="E59" i="9" s="1"/>
  <c r="D55" i="9"/>
  <c r="D58" i="9" s="1"/>
  <c r="D59" i="9" s="1"/>
  <c r="C55" i="9"/>
  <c r="C50" i="9"/>
  <c r="C51" i="9" s="1"/>
  <c r="E47" i="9"/>
  <c r="E50" i="9" s="1"/>
  <c r="E51" i="9" s="1"/>
  <c r="D47" i="9"/>
  <c r="D50" i="9" s="1"/>
  <c r="D51" i="9" s="1"/>
  <c r="C47" i="9"/>
  <c r="D42" i="9"/>
  <c r="C42" i="9"/>
  <c r="E41" i="9"/>
  <c r="E40" i="9"/>
  <c r="E39" i="9"/>
  <c r="E38" i="9"/>
  <c r="E37" i="9"/>
  <c r="E36" i="9"/>
  <c r="E35" i="9"/>
  <c r="E34" i="9"/>
  <c r="E33" i="9"/>
  <c r="E32" i="9"/>
  <c r="E42" i="9" s="1"/>
  <c r="E25" i="9"/>
  <c r="D25" i="9"/>
  <c r="C25" i="9"/>
  <c r="C26" i="9" s="1"/>
  <c r="E19" i="9"/>
  <c r="D19" i="9"/>
  <c r="C19" i="9"/>
  <c r="E11" i="9"/>
  <c r="D11" i="9"/>
  <c r="C11" i="9"/>
  <c r="E9" i="9"/>
  <c r="D9" i="9"/>
  <c r="C9" i="9"/>
  <c r="E8" i="9"/>
  <c r="D8" i="9"/>
  <c r="C8" i="9"/>
  <c r="O2" i="9"/>
  <c r="N2" i="9"/>
  <c r="M2" i="9"/>
  <c r="M3" i="9" s="1"/>
  <c r="N3" i="9" s="1"/>
  <c r="O3" i="9" s="1"/>
  <c r="J2" i="9"/>
  <c r="J3" i="9" s="1"/>
  <c r="I2" i="9"/>
  <c r="I3" i="9" s="1"/>
  <c r="H2" i="9"/>
  <c r="H3" i="9" s="1"/>
  <c r="C58" i="8"/>
  <c r="C13" i="8"/>
  <c r="G65" i="8"/>
  <c r="C63" i="8" s="1"/>
  <c r="E54" i="8"/>
  <c r="E57" i="8" s="1"/>
  <c r="E58" i="8" s="1"/>
  <c r="E13" i="8" s="1"/>
  <c r="D54" i="8"/>
  <c r="D57" i="8" s="1"/>
  <c r="D58" i="8" s="1"/>
  <c r="D13" i="8" s="1"/>
  <c r="C54" i="8"/>
  <c r="C57" i="8" s="1"/>
  <c r="E47" i="8"/>
  <c r="E50" i="8" s="1"/>
  <c r="E51" i="8" s="1"/>
  <c r="E10" i="8" s="1"/>
  <c r="D47" i="8"/>
  <c r="D50" i="8" s="1"/>
  <c r="D51" i="8" s="1"/>
  <c r="D10" i="8" s="1"/>
  <c r="C47" i="8"/>
  <c r="C50" i="8" s="1"/>
  <c r="C51" i="8" s="1"/>
  <c r="C10" i="8" s="1"/>
  <c r="D42" i="8"/>
  <c r="C42" i="8"/>
  <c r="E41" i="8"/>
  <c r="E40" i="8"/>
  <c r="E39" i="8"/>
  <c r="E38" i="8"/>
  <c r="E37" i="8"/>
  <c r="E36" i="8"/>
  <c r="E35" i="8"/>
  <c r="E34" i="8"/>
  <c r="E33" i="8"/>
  <c r="E42" i="8" s="1"/>
  <c r="C44" i="8" s="1"/>
  <c r="D44" i="8" s="1"/>
  <c r="E44" i="8" s="1"/>
  <c r="E32" i="8"/>
  <c r="E25" i="8"/>
  <c r="D25" i="8"/>
  <c r="C25" i="8"/>
  <c r="C26" i="8" s="1"/>
  <c r="E19" i="8"/>
  <c r="D19" i="8"/>
  <c r="C19" i="8"/>
  <c r="E11" i="8"/>
  <c r="D11" i="8"/>
  <c r="C11" i="8"/>
  <c r="C9" i="8"/>
  <c r="D9" i="8" s="1"/>
  <c r="E9" i="8" s="1"/>
  <c r="E8" i="8"/>
  <c r="D8" i="8"/>
  <c r="C8" i="8"/>
  <c r="O2" i="8"/>
  <c r="N2" i="8"/>
  <c r="M2" i="8"/>
  <c r="M3" i="8" s="1"/>
  <c r="N3" i="8" s="1"/>
  <c r="O3" i="8" s="1"/>
  <c r="D11" i="1"/>
  <c r="E11" i="1"/>
  <c r="C11" i="1"/>
  <c r="B19" i="7"/>
  <c r="C19" i="7" s="1"/>
  <c r="D19" i="7" s="1"/>
  <c r="E19" i="7" s="1"/>
  <c r="F19" i="7" s="1"/>
  <c r="G19" i="7" s="1"/>
  <c r="H19" i="7" s="1"/>
  <c r="I19" i="7" s="1"/>
  <c r="J19" i="7" s="1"/>
  <c r="K19" i="7" s="1"/>
  <c r="L19" i="7" s="1"/>
  <c r="M19" i="7" s="1"/>
  <c r="B15" i="7"/>
  <c r="C15" i="7" s="1"/>
  <c r="D15" i="7" s="1"/>
  <c r="E15" i="7" s="1"/>
  <c r="F15" i="7" s="1"/>
  <c r="G15" i="7" s="1"/>
  <c r="J15" i="7" s="1"/>
  <c r="K15" i="7" s="1"/>
  <c r="L15" i="7" s="1"/>
  <c r="M15" i="7" s="1"/>
  <c r="B38" i="7"/>
  <c r="M36" i="7"/>
  <c r="L36" i="7"/>
  <c r="K36" i="7"/>
  <c r="J36" i="7"/>
  <c r="J22" i="7" s="1"/>
  <c r="I36" i="7"/>
  <c r="H36" i="7"/>
  <c r="G36" i="7"/>
  <c r="F36" i="7"/>
  <c r="F22" i="7" s="1"/>
  <c r="E36" i="7"/>
  <c r="D36" i="7"/>
  <c r="C36" i="7"/>
  <c r="B36" i="7"/>
  <c r="B22" i="7" s="1"/>
  <c r="I35" i="7"/>
  <c r="M22" i="7"/>
  <c r="L22" i="7"/>
  <c r="K22" i="7"/>
  <c r="I22" i="7"/>
  <c r="H22" i="7"/>
  <c r="G22" i="7"/>
  <c r="E22" i="7"/>
  <c r="D22" i="7"/>
  <c r="C22" i="7"/>
  <c r="I21" i="7"/>
  <c r="B21" i="7"/>
  <c r="B18" i="7"/>
  <c r="C18" i="7" s="1"/>
  <c r="D18" i="7" s="1"/>
  <c r="E18" i="7" s="1"/>
  <c r="F18" i="7" s="1"/>
  <c r="G18" i="7" s="1"/>
  <c r="J18" i="7" s="1"/>
  <c r="K18" i="7" s="1"/>
  <c r="L18" i="7" s="1"/>
  <c r="M18" i="7" s="1"/>
  <c r="I16" i="7"/>
  <c r="I8" i="7"/>
  <c r="J6" i="7"/>
  <c r="J35" i="7" s="1"/>
  <c r="J21" i="7" s="1"/>
  <c r="B15" i="6"/>
  <c r="C15" i="6" s="1"/>
  <c r="D15" i="6" s="1"/>
  <c r="E15" i="6" s="1"/>
  <c r="F15" i="6" s="1"/>
  <c r="G15" i="6" s="1"/>
  <c r="J15" i="6" s="1"/>
  <c r="K15" i="6" s="1"/>
  <c r="L15" i="6" s="1"/>
  <c r="M15" i="6" s="1"/>
  <c r="C3" i="6"/>
  <c r="D3" i="6"/>
  <c r="E3" i="6"/>
  <c r="E34" i="6" s="1"/>
  <c r="F3" i="6"/>
  <c r="G3" i="6"/>
  <c r="J3" i="6"/>
  <c r="K3" i="6"/>
  <c r="L3" i="6"/>
  <c r="L34" i="6" s="1"/>
  <c r="M3" i="6"/>
  <c r="B3" i="6"/>
  <c r="B38" i="6"/>
  <c r="M36" i="6"/>
  <c r="M22" i="6" s="1"/>
  <c r="L36" i="6"/>
  <c r="L22" i="6" s="1"/>
  <c r="K36" i="6"/>
  <c r="K22" i="6" s="1"/>
  <c r="J36" i="6"/>
  <c r="J22" i="6" s="1"/>
  <c r="I36" i="6"/>
  <c r="I22" i="6" s="1"/>
  <c r="H36" i="6"/>
  <c r="H22" i="6" s="1"/>
  <c r="G36" i="6"/>
  <c r="G22" i="6" s="1"/>
  <c r="F36" i="6"/>
  <c r="F22" i="6" s="1"/>
  <c r="E36" i="6"/>
  <c r="D36" i="6"/>
  <c r="D22" i="6" s="1"/>
  <c r="C36" i="6"/>
  <c r="C22" i="6" s="1"/>
  <c r="B36" i="6"/>
  <c r="B22" i="6" s="1"/>
  <c r="M34" i="6"/>
  <c r="I34" i="6"/>
  <c r="H34" i="6"/>
  <c r="H4" i="6" s="1"/>
  <c r="E22" i="6"/>
  <c r="B21" i="6"/>
  <c r="B19" i="6"/>
  <c r="C19" i="6" s="1"/>
  <c r="D19" i="6" s="1"/>
  <c r="E19" i="6" s="1"/>
  <c r="F19" i="6" s="1"/>
  <c r="G19" i="6" s="1"/>
  <c r="H19" i="6" s="1"/>
  <c r="I19" i="6" s="1"/>
  <c r="J19" i="6" s="1"/>
  <c r="K19" i="6" s="1"/>
  <c r="L19" i="6" s="1"/>
  <c r="M19" i="6" s="1"/>
  <c r="B18" i="6"/>
  <c r="C18" i="6" s="1"/>
  <c r="D18" i="6" s="1"/>
  <c r="E18" i="6" s="1"/>
  <c r="F18" i="6" s="1"/>
  <c r="G18" i="6" s="1"/>
  <c r="J18" i="6" s="1"/>
  <c r="K18" i="6" s="1"/>
  <c r="L18" i="6" s="1"/>
  <c r="M18" i="6" s="1"/>
  <c r="I16" i="6"/>
  <c r="D34" i="6"/>
  <c r="B38" i="5"/>
  <c r="C38" i="5"/>
  <c r="C36" i="5"/>
  <c r="C35" i="5"/>
  <c r="C34" i="5"/>
  <c r="B37" i="5"/>
  <c r="B35" i="5"/>
  <c r="B20" i="5"/>
  <c r="C20" i="5" s="1"/>
  <c r="D20" i="5" s="1"/>
  <c r="E20" i="5" s="1"/>
  <c r="F20" i="5" s="1"/>
  <c r="G20" i="5" s="1"/>
  <c r="H20" i="5" s="1"/>
  <c r="I20" i="5" s="1"/>
  <c r="J20" i="5" s="1"/>
  <c r="K20" i="5" s="1"/>
  <c r="L20" i="5" s="1"/>
  <c r="M20" i="5" s="1"/>
  <c r="B19" i="5"/>
  <c r="C19" i="5" s="1"/>
  <c r="D19" i="5" s="1"/>
  <c r="E19" i="5" s="1"/>
  <c r="F19" i="5" s="1"/>
  <c r="G19" i="5" s="1"/>
  <c r="B4" i="5"/>
  <c r="B8" i="5"/>
  <c r="B23" i="5" s="1"/>
  <c r="D7" i="5"/>
  <c r="E7" i="5"/>
  <c r="F7" i="5"/>
  <c r="G7" i="5"/>
  <c r="H7" i="5"/>
  <c r="K7" i="5"/>
  <c r="L7" i="5"/>
  <c r="L36" i="5" s="1"/>
  <c r="L22" i="5" s="1"/>
  <c r="M7" i="5"/>
  <c r="M36" i="5" s="1"/>
  <c r="M22" i="5" s="1"/>
  <c r="C7" i="5"/>
  <c r="B5" i="5"/>
  <c r="C3" i="5"/>
  <c r="D3" i="5"/>
  <c r="E3" i="5"/>
  <c r="F3" i="5"/>
  <c r="F35" i="5" s="1"/>
  <c r="G3" i="5"/>
  <c r="J3" i="5"/>
  <c r="J35" i="5" s="1"/>
  <c r="K3" i="5"/>
  <c r="L3" i="5"/>
  <c r="L35" i="5" s="1"/>
  <c r="L5" i="5" s="1"/>
  <c r="M3" i="5"/>
  <c r="B3" i="5"/>
  <c r="D36" i="5"/>
  <c r="D22" i="5" s="1"/>
  <c r="E36" i="5"/>
  <c r="E22" i="5" s="1"/>
  <c r="H36" i="5"/>
  <c r="H22" i="5" s="1"/>
  <c r="I36" i="5"/>
  <c r="I22" i="5" s="1"/>
  <c r="J36" i="5"/>
  <c r="J22" i="5" s="1"/>
  <c r="B22" i="5"/>
  <c r="D35" i="5"/>
  <c r="D5" i="5" s="1"/>
  <c r="E35" i="5"/>
  <c r="E5" i="5" s="1"/>
  <c r="G35" i="5"/>
  <c r="H35" i="5"/>
  <c r="H5" i="5" s="1"/>
  <c r="I35" i="5"/>
  <c r="I5" i="5" s="1"/>
  <c r="K35" i="5"/>
  <c r="M35" i="5"/>
  <c r="M5" i="5" s="1"/>
  <c r="C22" i="5"/>
  <c r="F36" i="5"/>
  <c r="F22" i="5" s="1"/>
  <c r="C37" i="5"/>
  <c r="C23" i="5" s="1"/>
  <c r="D37" i="5"/>
  <c r="D23" i="5" s="1"/>
  <c r="E37" i="5"/>
  <c r="E23" i="5" s="1"/>
  <c r="F37" i="5"/>
  <c r="F23" i="5" s="1"/>
  <c r="G37" i="5"/>
  <c r="G23" i="5" s="1"/>
  <c r="H37" i="5"/>
  <c r="H23" i="5" s="1"/>
  <c r="I37" i="5"/>
  <c r="I23" i="5" s="1"/>
  <c r="J37" i="5"/>
  <c r="J23" i="5" s="1"/>
  <c r="K37" i="5"/>
  <c r="K23" i="5" s="1"/>
  <c r="L37" i="5"/>
  <c r="L23" i="5" s="1"/>
  <c r="M37" i="5"/>
  <c r="M23" i="5" s="1"/>
  <c r="B39" i="5"/>
  <c r="G3" i="3"/>
  <c r="I2" i="3"/>
  <c r="H2" i="3"/>
  <c r="G2" i="3"/>
  <c r="B3" i="3"/>
  <c r="B24" i="3"/>
  <c r="B18" i="3" s="1"/>
  <c r="B19" i="3" s="1"/>
  <c r="D20" i="1"/>
  <c r="E20" i="1"/>
  <c r="C20" i="1"/>
  <c r="C29" i="2"/>
  <c r="B29" i="2"/>
  <c r="C13" i="2"/>
  <c r="B22" i="2"/>
  <c r="B23" i="2" s="1"/>
  <c r="D13" i="2"/>
  <c r="C9" i="1"/>
  <c r="B18" i="5" s="1"/>
  <c r="C18" i="5" s="1"/>
  <c r="D18" i="5" s="1"/>
  <c r="E18" i="5" s="1"/>
  <c r="F18" i="5" s="1"/>
  <c r="G18" i="5" s="1"/>
  <c r="H18" i="5" s="1"/>
  <c r="I18" i="5" s="1"/>
  <c r="J18" i="5" s="1"/>
  <c r="K18" i="5" s="1"/>
  <c r="L18" i="5" s="1"/>
  <c r="M18" i="5" s="1"/>
  <c r="D8" i="1"/>
  <c r="E8" i="1"/>
  <c r="C8" i="1"/>
  <c r="D26" i="1"/>
  <c r="D27" i="1" s="1"/>
  <c r="E26" i="1"/>
  <c r="E27" i="1" s="1"/>
  <c r="C26" i="1"/>
  <c r="C27" i="1" s="1"/>
  <c r="C29" i="1" s="1"/>
  <c r="N2" i="1"/>
  <c r="O2" i="1"/>
  <c r="M2" i="1"/>
  <c r="M3" i="1" s="1"/>
  <c r="N3" i="1" s="1"/>
  <c r="O3" i="1" s="1"/>
  <c r="C48" i="1"/>
  <c r="C51" i="1" s="1"/>
  <c r="C52" i="1" s="1"/>
  <c r="C53" i="1" s="1"/>
  <c r="D53" i="1" s="1"/>
  <c r="E53" i="1" s="1"/>
  <c r="B17" i="6" l="1"/>
  <c r="C17" i="6" s="1"/>
  <c r="D17" i="6" s="1"/>
  <c r="E17" i="6" s="1"/>
  <c r="F17" i="6" s="1"/>
  <c r="G17" i="6" s="1"/>
  <c r="H17" i="6" s="1"/>
  <c r="I17" i="6" s="1"/>
  <c r="J17" i="6" s="1"/>
  <c r="K17" i="6" s="1"/>
  <c r="L17" i="6" s="1"/>
  <c r="M17" i="6" s="1"/>
  <c r="J19" i="5"/>
  <c r="K19" i="5" s="1"/>
  <c r="L19" i="5" s="1"/>
  <c r="M19" i="5" s="1"/>
  <c r="B17" i="7"/>
  <c r="C17" i="7" s="1"/>
  <c r="D17" i="7" s="1"/>
  <c r="E17" i="7" s="1"/>
  <c r="F17" i="7" s="1"/>
  <c r="G17" i="7" s="1"/>
  <c r="H17" i="7" s="1"/>
  <c r="I17" i="7" s="1"/>
  <c r="J17" i="7" s="1"/>
  <c r="K17" i="7" s="1"/>
  <c r="L17" i="7" s="1"/>
  <c r="M17" i="7" s="1"/>
  <c r="D29" i="1"/>
  <c r="E29" i="1" s="1"/>
  <c r="E4" i="1" s="1"/>
  <c r="B6" i="7" s="1"/>
  <c r="C6" i="7" s="1"/>
  <c r="C35" i="7" s="1"/>
  <c r="C21" i="7" s="1"/>
  <c r="I7" i="9"/>
  <c r="H7" i="9" s="1"/>
  <c r="C13" i="9"/>
  <c r="C4" i="9"/>
  <c r="C7" i="9"/>
  <c r="C66" i="9"/>
  <c r="D65" i="9"/>
  <c r="C70" i="9"/>
  <c r="H2" i="8"/>
  <c r="H3" i="8" s="1"/>
  <c r="H4" i="8" s="1"/>
  <c r="J2" i="8"/>
  <c r="J3" i="8" s="1"/>
  <c r="J4" i="8" s="1"/>
  <c r="C7" i="8"/>
  <c r="D7" i="8" s="1"/>
  <c r="E7" i="8" s="1"/>
  <c r="C4" i="8"/>
  <c r="D63" i="8"/>
  <c r="C68" i="8"/>
  <c r="C64" i="8"/>
  <c r="I2" i="8"/>
  <c r="I3" i="8" s="1"/>
  <c r="I4" i="8" s="1"/>
  <c r="D4" i="6"/>
  <c r="E4" i="6"/>
  <c r="L4" i="6"/>
  <c r="B34" i="6"/>
  <c r="F34" i="6"/>
  <c r="J34" i="6"/>
  <c r="C34" i="6"/>
  <c r="G34" i="6"/>
  <c r="K34" i="6"/>
  <c r="I4" i="6"/>
  <c r="M4" i="6"/>
  <c r="I17" i="5"/>
  <c r="I26" i="5" s="1"/>
  <c r="L38" i="5"/>
  <c r="M34" i="5" s="1"/>
  <c r="M39" i="5" s="1"/>
  <c r="K36" i="5"/>
  <c r="K22" i="5" s="1"/>
  <c r="G36" i="5"/>
  <c r="G22" i="5" s="1"/>
  <c r="D38" i="5"/>
  <c r="E34" i="5" s="1"/>
  <c r="E39" i="5" s="1"/>
  <c r="K38" i="5"/>
  <c r="L34" i="5" s="1"/>
  <c r="L39" i="5" s="1"/>
  <c r="D34" i="5"/>
  <c r="D39" i="5" s="1"/>
  <c r="I38" i="5"/>
  <c r="J34" i="5" s="1"/>
  <c r="J39" i="5" s="1"/>
  <c r="H26" i="5"/>
  <c r="H38" i="5"/>
  <c r="I34" i="5" s="1"/>
  <c r="I39" i="5" s="1"/>
  <c r="M38" i="5"/>
  <c r="E38" i="5"/>
  <c r="F34" i="5" s="1"/>
  <c r="F39" i="5" s="1"/>
  <c r="J38" i="5"/>
  <c r="K34" i="5" s="1"/>
  <c r="K39" i="5" s="1"/>
  <c r="F38" i="5"/>
  <c r="G34" i="5" s="1"/>
  <c r="G39" i="5" s="1"/>
  <c r="G5" i="5"/>
  <c r="J5" i="5"/>
  <c r="F5" i="5"/>
  <c r="K5" i="5"/>
  <c r="C5" i="5"/>
  <c r="C24" i="3"/>
  <c r="C18" i="3" s="1"/>
  <c r="C19" i="3" s="1"/>
  <c r="B30" i="2"/>
  <c r="D30" i="2" s="1"/>
  <c r="B31" i="2"/>
  <c r="D23" i="2"/>
  <c r="B24" i="2"/>
  <c r="D22" i="2"/>
  <c r="B14" i="2"/>
  <c r="B9" i="2"/>
  <c r="D9" i="1"/>
  <c r="E9" i="1" s="1"/>
  <c r="I2" i="1"/>
  <c r="I3" i="1" s="1"/>
  <c r="D56" i="1"/>
  <c r="D59" i="1" s="1"/>
  <c r="D60" i="1" s="1"/>
  <c r="E56" i="1"/>
  <c r="E59" i="1" s="1"/>
  <c r="E60" i="1" s="1"/>
  <c r="C56" i="1"/>
  <c r="C59" i="1" s="1"/>
  <c r="C60" i="1" s="1"/>
  <c r="B16" i="5"/>
  <c r="E48" i="1"/>
  <c r="E51" i="1" s="1"/>
  <c r="D48" i="1"/>
  <c r="D51" i="1" s="1"/>
  <c r="J2" i="1"/>
  <c r="J3" i="1" s="1"/>
  <c r="H2" i="1"/>
  <c r="D43" i="1"/>
  <c r="C43" i="1"/>
  <c r="E34" i="1"/>
  <c r="E35" i="1"/>
  <c r="E36" i="1"/>
  <c r="E37" i="1"/>
  <c r="E38" i="1"/>
  <c r="E33" i="1"/>
  <c r="E42" i="1"/>
  <c r="E40" i="1"/>
  <c r="E41" i="1"/>
  <c r="E39" i="1"/>
  <c r="G66" i="1"/>
  <c r="C66" i="1" s="1"/>
  <c r="D6" i="7" l="1"/>
  <c r="E6" i="7" s="1"/>
  <c r="C6" i="9"/>
  <c r="D7" i="9"/>
  <c r="E7" i="9"/>
  <c r="D13" i="9"/>
  <c r="E13" i="9"/>
  <c r="E65" i="9"/>
  <c r="D70" i="9"/>
  <c r="D66" i="9"/>
  <c r="C68" i="9"/>
  <c r="C67" i="9"/>
  <c r="C69" i="9" s="1"/>
  <c r="D4" i="9"/>
  <c r="E4" i="9"/>
  <c r="I8" i="9"/>
  <c r="H9" i="9" s="1"/>
  <c r="D28" i="8"/>
  <c r="D4" i="8"/>
  <c r="C66" i="8"/>
  <c r="C65" i="8"/>
  <c r="C67" i="8" s="1"/>
  <c r="C6" i="8"/>
  <c r="E63" i="8"/>
  <c r="D68" i="8"/>
  <c r="D64" i="8"/>
  <c r="D6" i="8"/>
  <c r="E6" i="8"/>
  <c r="I3" i="7"/>
  <c r="H34" i="7"/>
  <c r="H4" i="7" s="1"/>
  <c r="C16" i="5"/>
  <c r="D16" i="5" s="1"/>
  <c r="E16" i="5" s="1"/>
  <c r="F16" i="5" s="1"/>
  <c r="G16" i="5" s="1"/>
  <c r="J16" i="5" s="1"/>
  <c r="K16" i="5" s="1"/>
  <c r="L16" i="5" s="1"/>
  <c r="M16" i="5" s="1"/>
  <c r="K4" i="6"/>
  <c r="G4" i="6"/>
  <c r="J4" i="6"/>
  <c r="C4" i="6"/>
  <c r="F4" i="6"/>
  <c r="B4" i="6"/>
  <c r="B37" i="6"/>
  <c r="D66" i="1"/>
  <c r="C71" i="1"/>
  <c r="B9" i="5" s="1"/>
  <c r="C39" i="5"/>
  <c r="G38" i="5"/>
  <c r="H34" i="5" s="1"/>
  <c r="H39" i="5" s="1"/>
  <c r="D24" i="3"/>
  <c r="D18" i="3" s="1"/>
  <c r="D19" i="3" s="1"/>
  <c r="E43" i="1"/>
  <c r="D31" i="2"/>
  <c r="B32" i="2"/>
  <c r="B25" i="2"/>
  <c r="D25" i="2" s="1"/>
  <c r="D24" i="2"/>
  <c r="D14" i="2"/>
  <c r="B15" i="2"/>
  <c r="C67" i="1"/>
  <c r="C68" i="1" s="1"/>
  <c r="C70" i="1" s="1"/>
  <c r="C61" i="1"/>
  <c r="D61" i="1" s="1"/>
  <c r="E61" i="1" s="1"/>
  <c r="E13" i="1" s="1"/>
  <c r="H3" i="1"/>
  <c r="I7" i="1" s="1"/>
  <c r="H7" i="1" s="1"/>
  <c r="D52" i="1"/>
  <c r="E52" i="1"/>
  <c r="D35" i="7" l="1"/>
  <c r="C33" i="6"/>
  <c r="C38" i="6" s="1"/>
  <c r="D68" i="9"/>
  <c r="D67" i="9"/>
  <c r="D69" i="9" s="1"/>
  <c r="C3" i="9" a="1"/>
  <c r="E6" i="9"/>
  <c r="E70" i="9"/>
  <c r="E66" i="9"/>
  <c r="D6" i="9"/>
  <c r="E28" i="8"/>
  <c r="E4" i="8"/>
  <c r="C3" i="8" a="1"/>
  <c r="C3" i="8" s="1"/>
  <c r="C5" i="8" s="1"/>
  <c r="D65" i="8"/>
  <c r="D67" i="8" s="1"/>
  <c r="D66" i="8"/>
  <c r="E68" i="8"/>
  <c r="E64" i="8"/>
  <c r="I34" i="7"/>
  <c r="E35" i="7"/>
  <c r="F6" i="7"/>
  <c r="D21" i="7"/>
  <c r="B10" i="5"/>
  <c r="B11" i="5"/>
  <c r="C9" i="5"/>
  <c r="E66" i="1"/>
  <c r="E71" i="1" s="1"/>
  <c r="B8" i="7" s="1"/>
  <c r="D71" i="1"/>
  <c r="B8" i="6" s="1"/>
  <c r="H5" i="1"/>
  <c r="I5" i="1" s="1"/>
  <c r="J5" i="1" s="1"/>
  <c r="I8" i="1" s="1"/>
  <c r="H9" i="1" s="1"/>
  <c r="C45" i="1"/>
  <c r="D45" i="1" s="1"/>
  <c r="E45" i="1" s="1"/>
  <c r="B16" i="2"/>
  <c r="B33" i="2"/>
  <c r="D32" i="2"/>
  <c r="D15" i="2"/>
  <c r="C13" i="1"/>
  <c r="C69" i="1"/>
  <c r="D13" i="1"/>
  <c r="D4" i="1"/>
  <c r="B6" i="6" s="1"/>
  <c r="C6" i="6" s="1"/>
  <c r="D67" i="1"/>
  <c r="C3" i="1" l="1" a="1"/>
  <c r="B3" i="7" s="1"/>
  <c r="C8" i="6"/>
  <c r="B10" i="6"/>
  <c r="B9" i="6"/>
  <c r="B9" i="7"/>
  <c r="B10" i="7"/>
  <c r="C8" i="7"/>
  <c r="C3" i="7"/>
  <c r="B34" i="7"/>
  <c r="C35" i="6"/>
  <c r="D6" i="6"/>
  <c r="E5" i="9"/>
  <c r="C3" i="9"/>
  <c r="C5" i="9" s="1"/>
  <c r="D5" i="9"/>
  <c r="E67" i="9"/>
  <c r="E69" i="9" s="1"/>
  <c r="E68" i="9"/>
  <c r="E5" i="8"/>
  <c r="D5" i="8"/>
  <c r="E65" i="8"/>
  <c r="E67" i="8" s="1"/>
  <c r="E66" i="8"/>
  <c r="I37" i="7"/>
  <c r="J33" i="7" s="1"/>
  <c r="J38" i="7" s="1"/>
  <c r="I4" i="7"/>
  <c r="I25" i="7" s="1"/>
  <c r="G6" i="7"/>
  <c r="F35" i="7"/>
  <c r="E21" i="7"/>
  <c r="D9" i="5"/>
  <c r="C10" i="5"/>
  <c r="C11" i="5"/>
  <c r="E67" i="1"/>
  <c r="E69" i="1" s="1"/>
  <c r="C7" i="1"/>
  <c r="D33" i="2"/>
  <c r="D16" i="2"/>
  <c r="B17" i="2"/>
  <c r="D17" i="2" s="1"/>
  <c r="D69" i="1"/>
  <c r="D68" i="1"/>
  <c r="D70" i="1" s="1"/>
  <c r="C4" i="1"/>
  <c r="E7" i="1"/>
  <c r="B16" i="7" s="1"/>
  <c r="C16" i="7" s="1"/>
  <c r="D16" i="7" s="1"/>
  <c r="E16" i="7" s="1"/>
  <c r="F16" i="7" s="1"/>
  <c r="G16" i="7" s="1"/>
  <c r="J16" i="7" s="1"/>
  <c r="K16" i="7" s="1"/>
  <c r="L16" i="7" s="1"/>
  <c r="M16" i="7" s="1"/>
  <c r="D7" i="1"/>
  <c r="B16" i="6" s="1"/>
  <c r="C16" i="6" s="1"/>
  <c r="D16" i="6" s="1"/>
  <c r="E16" i="6" s="1"/>
  <c r="F16" i="6" s="1"/>
  <c r="G16" i="6" s="1"/>
  <c r="J16" i="6" s="1"/>
  <c r="K16" i="6" s="1"/>
  <c r="L16" i="6" s="1"/>
  <c r="M16" i="6" s="1"/>
  <c r="D5" i="1"/>
  <c r="E5" i="1"/>
  <c r="C3" i="1" l="1"/>
  <c r="E68" i="1"/>
  <c r="E70" i="1" s="1"/>
  <c r="B25" i="6"/>
  <c r="C5" i="1"/>
  <c r="B26" i="6"/>
  <c r="C24" i="6" s="1"/>
  <c r="C9" i="7"/>
  <c r="D8" i="7"/>
  <c r="C10" i="7"/>
  <c r="D8" i="6"/>
  <c r="C9" i="6"/>
  <c r="C10" i="6"/>
  <c r="B37" i="7"/>
  <c r="C33" i="7" s="1"/>
  <c r="C38" i="7" s="1"/>
  <c r="B4" i="7"/>
  <c r="B17" i="5"/>
  <c r="C6" i="1"/>
  <c r="D3" i="7"/>
  <c r="C34" i="7"/>
  <c r="E6" i="6"/>
  <c r="D35" i="6"/>
  <c r="C21" i="6"/>
  <c r="C37" i="6"/>
  <c r="D33" i="6" s="1"/>
  <c r="D38" i="6" s="1"/>
  <c r="C15" i="9" a="1"/>
  <c r="C15" i="8" a="1"/>
  <c r="F21" i="7"/>
  <c r="G35" i="7"/>
  <c r="H6" i="7"/>
  <c r="J6" i="6"/>
  <c r="I35" i="6"/>
  <c r="D10" i="5"/>
  <c r="D11" i="5"/>
  <c r="E9" i="5"/>
  <c r="C16" i="1" a="1"/>
  <c r="C16" i="1" s="1"/>
  <c r="C15" i="1" s="1"/>
  <c r="D6" i="1"/>
  <c r="E6" i="1"/>
  <c r="C26" i="6" l="1"/>
  <c r="D24" i="6" s="1"/>
  <c r="E3" i="7"/>
  <c r="D34" i="7"/>
  <c r="E8" i="7"/>
  <c r="D10" i="7"/>
  <c r="D9" i="7"/>
  <c r="C17" i="5"/>
  <c r="B26" i="5"/>
  <c r="B27" i="5"/>
  <c r="C25" i="5" s="1"/>
  <c r="C25" i="6"/>
  <c r="C4" i="7"/>
  <c r="C25" i="7" s="1"/>
  <c r="C37" i="7"/>
  <c r="D33" i="7" s="1"/>
  <c r="D38" i="7" s="1"/>
  <c r="B26" i="7"/>
  <c r="C24" i="7" s="1"/>
  <c r="B25" i="7"/>
  <c r="E8" i="6"/>
  <c r="D10" i="6"/>
  <c r="D9" i="6"/>
  <c r="D21" i="6"/>
  <c r="D37" i="6"/>
  <c r="E33" i="6" s="1"/>
  <c r="E38" i="6" s="1"/>
  <c r="E35" i="6"/>
  <c r="F6" i="6"/>
  <c r="E14" i="9"/>
  <c r="E17" i="9" s="1"/>
  <c r="E20" i="9" s="1"/>
  <c r="D14" i="9"/>
  <c r="D17" i="9" s="1"/>
  <c r="D20" i="9" s="1"/>
  <c r="C15" i="9"/>
  <c r="C14" i="9" s="1"/>
  <c r="C17" i="9" s="1"/>
  <c r="C20" i="9" s="1"/>
  <c r="E14" i="8"/>
  <c r="E17" i="8" s="1"/>
  <c r="E20" i="8" s="1"/>
  <c r="D14" i="8"/>
  <c r="D17" i="8" s="1"/>
  <c r="D20" i="8" s="1"/>
  <c r="C15" i="8"/>
  <c r="C14" i="8" s="1"/>
  <c r="C17" i="8" s="1"/>
  <c r="C20" i="8" s="1"/>
  <c r="H35" i="7"/>
  <c r="K6" i="7"/>
  <c r="G21" i="7"/>
  <c r="I21" i="6"/>
  <c r="I25" i="6" s="1"/>
  <c r="I37" i="6"/>
  <c r="J33" i="6" s="1"/>
  <c r="J38" i="6" s="1"/>
  <c r="J35" i="6"/>
  <c r="F9" i="5"/>
  <c r="E11" i="5"/>
  <c r="E10" i="5"/>
  <c r="C2" i="3"/>
  <c r="C12" i="3" s="1"/>
  <c r="D2" i="3"/>
  <c r="D12" i="3" s="1"/>
  <c r="B2" i="3"/>
  <c r="B12" i="3" s="1"/>
  <c r="B14" i="3" s="1"/>
  <c r="C13" i="3" s="1"/>
  <c r="E15" i="1"/>
  <c r="E18" i="1" s="1"/>
  <c r="D27" i="3" s="1"/>
  <c r="D30" i="3" s="1"/>
  <c r="D15" i="1"/>
  <c r="B27" i="3"/>
  <c r="B30" i="3" s="1"/>
  <c r="D25" i="6" l="1"/>
  <c r="F8" i="6"/>
  <c r="E9" i="6"/>
  <c r="E10" i="6"/>
  <c r="D17" i="5"/>
  <c r="C26" i="5"/>
  <c r="C26" i="7"/>
  <c r="D24" i="7" s="1"/>
  <c r="C27" i="5"/>
  <c r="D25" i="5" s="1"/>
  <c r="D4" i="7"/>
  <c r="D37" i="7"/>
  <c r="E33" i="7" s="1"/>
  <c r="E38" i="7" s="1"/>
  <c r="E9" i="7"/>
  <c r="E10" i="7"/>
  <c r="F8" i="7"/>
  <c r="F3" i="7"/>
  <c r="E34" i="7"/>
  <c r="G6" i="6"/>
  <c r="F35" i="6"/>
  <c r="E21" i="6"/>
  <c r="E37" i="6"/>
  <c r="F33" i="6" s="1"/>
  <c r="F38" i="6" s="1"/>
  <c r="D26" i="6"/>
  <c r="E24" i="6" s="1"/>
  <c r="C21" i="9"/>
  <c r="C22" i="9"/>
  <c r="D21" i="9"/>
  <c r="D22" i="9" s="1"/>
  <c r="E21" i="9"/>
  <c r="E22" i="9" s="1"/>
  <c r="C21" i="8"/>
  <c r="C22" i="8" s="1"/>
  <c r="D21" i="8"/>
  <c r="D22" i="8" s="1"/>
  <c r="E21" i="8"/>
  <c r="E22" i="8" s="1"/>
  <c r="L6" i="7"/>
  <c r="K35" i="7"/>
  <c r="H21" i="7"/>
  <c r="H25" i="7" s="1"/>
  <c r="H37" i="7"/>
  <c r="I33" i="7" s="1"/>
  <c r="I38" i="7" s="1"/>
  <c r="J21" i="6"/>
  <c r="J37" i="6"/>
  <c r="K33" i="6" s="1"/>
  <c r="K38" i="6" s="1"/>
  <c r="I9" i="3"/>
  <c r="I8" i="3" s="1"/>
  <c r="I12" i="3" s="1"/>
  <c r="D9" i="3"/>
  <c r="G9" i="3"/>
  <c r="G8" i="3" s="1"/>
  <c r="G12" i="3" s="1"/>
  <c r="G14" i="3" s="1"/>
  <c r="H13" i="3" s="1"/>
  <c r="B9" i="3"/>
  <c r="G9" i="5"/>
  <c r="F11" i="5"/>
  <c r="F10" i="5"/>
  <c r="C14" i="3"/>
  <c r="D13" i="3" s="1"/>
  <c r="D14" i="3" s="1"/>
  <c r="D18" i="1"/>
  <c r="E4" i="7" l="1"/>
  <c r="E37" i="7"/>
  <c r="F33" i="7" s="1"/>
  <c r="F38" i="7" s="1"/>
  <c r="G3" i="7"/>
  <c r="F34" i="7"/>
  <c r="G8" i="6"/>
  <c r="F10" i="6"/>
  <c r="F9" i="6"/>
  <c r="F10" i="7"/>
  <c r="G8" i="7"/>
  <c r="F9" i="7"/>
  <c r="D25" i="7"/>
  <c r="D26" i="7"/>
  <c r="E24" i="7" s="1"/>
  <c r="E17" i="5"/>
  <c r="D27" i="5"/>
  <c r="E25" i="5" s="1"/>
  <c r="D26" i="5"/>
  <c r="E25" i="6"/>
  <c r="E26" i="6"/>
  <c r="F24" i="6" s="1"/>
  <c r="F21" i="6"/>
  <c r="F37" i="6"/>
  <c r="G33" i="6" s="1"/>
  <c r="G38" i="6" s="1"/>
  <c r="G35" i="6"/>
  <c r="H6" i="6"/>
  <c r="L35" i="7"/>
  <c r="M6" i="7"/>
  <c r="K21" i="7"/>
  <c r="D21" i="1"/>
  <c r="D22" i="1" s="1"/>
  <c r="C27" i="3"/>
  <c r="C30" i="3" s="1"/>
  <c r="J9" i="5"/>
  <c r="G10" i="5"/>
  <c r="G11" i="5"/>
  <c r="F4" i="7" l="1"/>
  <c r="F37" i="7"/>
  <c r="G33" i="7" s="1"/>
  <c r="G38" i="7" s="1"/>
  <c r="F17" i="5"/>
  <c r="E26" i="5"/>
  <c r="E27" i="5"/>
  <c r="F25" i="5" s="1"/>
  <c r="J8" i="7"/>
  <c r="G10" i="7"/>
  <c r="G9" i="7"/>
  <c r="I8" i="6"/>
  <c r="J8" i="6"/>
  <c r="G10" i="6"/>
  <c r="G9" i="6"/>
  <c r="J3" i="7"/>
  <c r="G34" i="7"/>
  <c r="E26" i="7"/>
  <c r="F24" i="7" s="1"/>
  <c r="E25" i="7"/>
  <c r="F26" i="6"/>
  <c r="G24" i="6" s="1"/>
  <c r="F25" i="6"/>
  <c r="K6" i="6"/>
  <c r="H35" i="6"/>
  <c r="G21" i="6"/>
  <c r="G37" i="6"/>
  <c r="H33" i="6" s="1"/>
  <c r="H38" i="6" s="1"/>
  <c r="M35" i="7"/>
  <c r="L21" i="7"/>
  <c r="H9" i="3"/>
  <c r="H8" i="3" s="1"/>
  <c r="H12" i="3" s="1"/>
  <c r="H14" i="3" s="1"/>
  <c r="I13" i="3" s="1"/>
  <c r="I14" i="3" s="1"/>
  <c r="C9" i="3"/>
  <c r="J11" i="5"/>
  <c r="K9" i="5"/>
  <c r="J10" i="5"/>
  <c r="G17" i="5" l="1"/>
  <c r="F27" i="5"/>
  <c r="G25" i="5" s="1"/>
  <c r="F26" i="5"/>
  <c r="G4" i="7"/>
  <c r="G37" i="7"/>
  <c r="H33" i="7" s="1"/>
  <c r="H38" i="7" s="1"/>
  <c r="K8" i="6"/>
  <c r="J10" i="6"/>
  <c r="J9" i="6"/>
  <c r="J9" i="7"/>
  <c r="J10" i="7"/>
  <c r="K8" i="7"/>
  <c r="J34" i="7"/>
  <c r="K3" i="7"/>
  <c r="F26" i="7"/>
  <c r="G24" i="7" s="1"/>
  <c r="F25" i="7"/>
  <c r="L6" i="6"/>
  <c r="K35" i="6"/>
  <c r="H21" i="6"/>
  <c r="H25" i="6" s="1"/>
  <c r="H37" i="6"/>
  <c r="I33" i="6" s="1"/>
  <c r="I38" i="6" s="1"/>
  <c r="G25" i="6"/>
  <c r="G26" i="6"/>
  <c r="H24" i="6" s="1"/>
  <c r="M21" i="7"/>
  <c r="K11" i="5"/>
  <c r="K10" i="5"/>
  <c r="L9" i="5"/>
  <c r="J25" i="6" l="1"/>
  <c r="L3" i="7"/>
  <c r="K34" i="7"/>
  <c r="L8" i="6"/>
  <c r="K10" i="6"/>
  <c r="K9" i="6"/>
  <c r="H26" i="6"/>
  <c r="I24" i="6" s="1"/>
  <c r="I26" i="6" s="1"/>
  <c r="J24" i="6" s="1"/>
  <c r="J26" i="6" s="1"/>
  <c r="K24" i="6" s="1"/>
  <c r="J4" i="7"/>
  <c r="J25" i="7" s="1"/>
  <c r="J37" i="7"/>
  <c r="K33" i="7" s="1"/>
  <c r="K38" i="7" s="1"/>
  <c r="J17" i="5"/>
  <c r="G26" i="5"/>
  <c r="G27" i="5"/>
  <c r="H25" i="5" s="1"/>
  <c r="H27" i="5" s="1"/>
  <c r="I25" i="5" s="1"/>
  <c r="I27" i="5" s="1"/>
  <c r="J25" i="5" s="1"/>
  <c r="K9" i="7"/>
  <c r="K10" i="7"/>
  <c r="L8" i="7"/>
  <c r="G26" i="7"/>
  <c r="H24" i="7" s="1"/>
  <c r="H26" i="7" s="1"/>
  <c r="I24" i="7" s="1"/>
  <c r="I26" i="7" s="1"/>
  <c r="J24" i="7" s="1"/>
  <c r="J26" i="7" s="1"/>
  <c r="K24" i="7" s="1"/>
  <c r="G25" i="7"/>
  <c r="K37" i="6"/>
  <c r="L33" i="6" s="1"/>
  <c r="L38" i="6" s="1"/>
  <c r="K21" i="6"/>
  <c r="L35" i="6"/>
  <c r="M6" i="6"/>
  <c r="M35" i="6" s="1"/>
  <c r="L10" i="5"/>
  <c r="L11" i="5"/>
  <c r="M9" i="5"/>
  <c r="M8" i="7" l="1"/>
  <c r="L10" i="7"/>
  <c r="L9" i="7"/>
  <c r="K4" i="7"/>
  <c r="K37" i="7"/>
  <c r="L33" i="7" s="1"/>
  <c r="L38" i="7" s="1"/>
  <c r="K17" i="5"/>
  <c r="J26" i="5"/>
  <c r="J27" i="5"/>
  <c r="K25" i="5" s="1"/>
  <c r="M8" i="6"/>
  <c r="L9" i="6"/>
  <c r="L10" i="6"/>
  <c r="M3" i="7"/>
  <c r="L34" i="7"/>
  <c r="M37" i="6"/>
  <c r="M21" i="6"/>
  <c r="K25" i="6"/>
  <c r="K26" i="6"/>
  <c r="L24" i="6" s="1"/>
  <c r="L21" i="6"/>
  <c r="L37" i="6"/>
  <c r="M33" i="6" s="1"/>
  <c r="M38" i="6" s="1"/>
  <c r="M10" i="5"/>
  <c r="M11" i="5"/>
  <c r="K26" i="7" l="1"/>
  <c r="L24" i="7" s="1"/>
  <c r="K25" i="7"/>
  <c r="L17" i="5"/>
  <c r="K26" i="5"/>
  <c r="K27" i="5"/>
  <c r="L25" i="5" s="1"/>
  <c r="M34" i="7"/>
  <c r="L4" i="7"/>
  <c r="L26" i="7" s="1"/>
  <c r="M24" i="7" s="1"/>
  <c r="L37" i="7"/>
  <c r="M33" i="7" s="1"/>
  <c r="M38" i="7" s="1"/>
  <c r="M9" i="6"/>
  <c r="M10" i="6"/>
  <c r="M10" i="7"/>
  <c r="M9" i="7"/>
  <c r="L25" i="6"/>
  <c r="L26" i="6"/>
  <c r="M24" i="6" s="1"/>
  <c r="M26" i="6" l="1"/>
  <c r="M25" i="6"/>
  <c r="M4" i="7"/>
  <c r="M37" i="7"/>
  <c r="L25" i="7"/>
  <c r="M17" i="5"/>
  <c r="L26" i="5"/>
  <c r="L27" i="5"/>
  <c r="M25" i="5" s="1"/>
  <c r="M26" i="5" l="1"/>
  <c r="M27" i="5"/>
  <c r="M25" i="7"/>
  <c r="M26" i="7"/>
  <c r="E21" i="1" l="1"/>
  <c r="E22" i="1" s="1"/>
  <c r="C21" i="1" l="1"/>
  <c r="E23" i="1" l="1"/>
  <c r="C22" i="1"/>
  <c r="C23" i="1" s="1"/>
  <c r="D2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<sst xmlns="http://schemas.openxmlformats.org/spreadsheetml/2006/main" count="635" uniqueCount="193">
  <si>
    <t>N</t>
  </si>
  <si>
    <t>N+1</t>
  </si>
  <si>
    <t>N+2</t>
  </si>
  <si>
    <t>CA</t>
  </si>
  <si>
    <t>CA prévisionnel</t>
  </si>
  <si>
    <t>MP</t>
  </si>
  <si>
    <t>charges externes</t>
  </si>
  <si>
    <t>électricité</t>
  </si>
  <si>
    <t>Total</t>
  </si>
  <si>
    <t>MCV</t>
  </si>
  <si>
    <t>Assurances</t>
  </si>
  <si>
    <t>Masse salariale</t>
  </si>
  <si>
    <t>EBE</t>
  </si>
  <si>
    <t>Charges financières</t>
  </si>
  <si>
    <t>IS</t>
  </si>
  <si>
    <t>Résultat net</t>
  </si>
  <si>
    <t>salaires</t>
  </si>
  <si>
    <t>AUGMENTATION SALAIRE</t>
  </si>
  <si>
    <t>nombre ETP</t>
  </si>
  <si>
    <t>Cotisations ETP</t>
  </si>
  <si>
    <t>salaire nvx ETP</t>
  </si>
  <si>
    <t>salaire total ETP</t>
  </si>
  <si>
    <t>nvx ETP</t>
  </si>
  <si>
    <t>Salaires totaux</t>
  </si>
  <si>
    <t>Cotisations patronales</t>
  </si>
  <si>
    <t>cotisations patronales</t>
  </si>
  <si>
    <t>Emplois</t>
  </si>
  <si>
    <t>Augmentation BFR</t>
  </si>
  <si>
    <t>Remboursement emprunt</t>
  </si>
  <si>
    <t>Remboursement compte courant</t>
  </si>
  <si>
    <t>Ressources</t>
  </si>
  <si>
    <t>CAF</t>
  </si>
  <si>
    <t>Augmentation compte courant</t>
  </si>
  <si>
    <t>Ecart annuel</t>
  </si>
  <si>
    <t>Investissements</t>
  </si>
  <si>
    <t>total</t>
  </si>
  <si>
    <t>BFR</t>
  </si>
  <si>
    <t xml:space="preserve">N </t>
  </si>
  <si>
    <t>45J CA</t>
  </si>
  <si>
    <t>variation</t>
  </si>
  <si>
    <t>Charges d'intérêts emprunt</t>
  </si>
  <si>
    <t>compte de résultat prévisionnel</t>
  </si>
  <si>
    <t>Augmentation</t>
  </si>
  <si>
    <t xml:space="preserve">Site internet </t>
  </si>
  <si>
    <t>SMIC EN VIGEUR :</t>
  </si>
  <si>
    <t xml:space="preserve">Salaire d'embauche +6%                 </t>
  </si>
  <si>
    <t xml:space="preserve">Mois </t>
  </si>
  <si>
    <t>mars</t>
  </si>
  <si>
    <t>Janvier</t>
  </si>
  <si>
    <t>février</t>
  </si>
  <si>
    <t>avril</t>
  </si>
  <si>
    <t>mai</t>
  </si>
  <si>
    <t>juin</t>
  </si>
  <si>
    <t>septembre</t>
  </si>
  <si>
    <t>octobre</t>
  </si>
  <si>
    <t>décembre</t>
  </si>
  <si>
    <t xml:space="preserve">Électricité </t>
  </si>
  <si>
    <t>novembre</t>
  </si>
  <si>
    <t>TOTAL</t>
  </si>
  <si>
    <t>Prix conso kw/h</t>
  </si>
  <si>
    <t>Conso kw</t>
  </si>
  <si>
    <t xml:space="preserve">Conso électricité click and collect </t>
  </si>
  <si>
    <t>N1</t>
  </si>
  <si>
    <t>N2</t>
  </si>
  <si>
    <t>N3</t>
  </si>
  <si>
    <t>CA Total</t>
  </si>
  <si>
    <t xml:space="preserve">CA Click and collect </t>
  </si>
  <si>
    <t>Augmentation Click and collect</t>
  </si>
  <si>
    <t>MP TOTAL</t>
  </si>
  <si>
    <t>MP Click and collect</t>
  </si>
  <si>
    <t xml:space="preserve">Étuve </t>
  </si>
  <si>
    <t xml:space="preserve">Chambre froide </t>
  </si>
  <si>
    <t xml:space="preserve">Contenaire isoterme </t>
  </si>
  <si>
    <t>Frais de communication tel et wifi</t>
  </si>
  <si>
    <t>Hébergement site</t>
  </si>
  <si>
    <t xml:space="preserve">Eau </t>
  </si>
  <si>
    <t xml:space="preserve">EAU </t>
  </si>
  <si>
    <t xml:space="preserve">Conso en m3 </t>
  </si>
  <si>
    <t xml:space="preserve">Prix Conso par litre </t>
  </si>
  <si>
    <t xml:space="preserve">Conso total </t>
  </si>
  <si>
    <t>Conso click and collect</t>
  </si>
  <si>
    <t>Gaz</t>
  </si>
  <si>
    <t>GAZ</t>
  </si>
  <si>
    <t>Conso MWH</t>
  </si>
  <si>
    <t xml:space="preserve">Prix d'un Mwh </t>
  </si>
  <si>
    <t>Imprimante</t>
  </si>
  <si>
    <t>Exploitation</t>
  </si>
  <si>
    <t>Superficie</t>
  </si>
  <si>
    <t xml:space="preserve">Prix </t>
  </si>
  <si>
    <t xml:space="preserve">Prix à l'année </t>
  </si>
  <si>
    <t>Suvbention de l'etat</t>
  </si>
  <si>
    <t>Hyphothèse normale :</t>
  </si>
  <si>
    <t xml:space="preserve">CA </t>
  </si>
  <si>
    <t>CA à l'année sur 10 mois</t>
  </si>
  <si>
    <t>N +2</t>
  </si>
  <si>
    <t>CA Click and collect à l'année/10mois</t>
  </si>
  <si>
    <t>Les MP correspondent à l'ensemble des produits nécessaires à la vente (salade, sandwich, boissons, viennoiserie, pâtisserie, légumes… Les MP représentent  278k/ par an au total et à 65% du CA = 189 k. Ils augmentent de la même facon que le CA (5%;7,5%;10%)</t>
  </si>
  <si>
    <t>La consommation d'électricité total du studio est de 1 1 80 0 00 kwh à 0,04992 le prix du kwh (un tarif préférentiel) soit 58k/ans.  La consommation d'électricité du C&amp;C est de 40k elle correspond à 65% de la consommation totale et augmente de la même manière que le CA. C'est la plus grosse charge.</t>
  </si>
  <si>
    <t>En moyenne héberger un site de notre taille coûte 150euros/ans. La location du nom de domaine sera de 15euros/ans</t>
  </si>
  <si>
    <r>
      <rPr>
        <b/>
        <sz val="11"/>
        <color theme="1"/>
        <rFont val="Calibri"/>
        <family val="2"/>
        <scheme val="minor"/>
      </rPr>
      <t>Assurance multirisque professionnelle :</t>
    </r>
    <r>
      <rPr>
        <sz val="11"/>
        <color theme="1"/>
        <rFont val="Calibri"/>
        <family val="2"/>
        <scheme val="minor"/>
      </rPr>
      <t xml:space="preserve"> couvre les dommages causés aux locaux, matériel et  stock, ainsi que les pertes financières résultant d'une interruption d'activité due à un sinistre. + </t>
    </r>
    <r>
      <rPr>
        <b/>
        <sz val="11"/>
        <color theme="1"/>
        <rFont val="Calibri"/>
        <family val="2"/>
        <scheme val="minor"/>
      </rPr>
      <t>Assurance cyber-risques :</t>
    </r>
    <r>
      <rPr>
        <sz val="11"/>
        <color theme="1"/>
        <rFont val="Calibri"/>
        <family val="2"/>
        <scheme val="minor"/>
      </rPr>
      <t xml:space="preserve"> protége contre les cyberattaques, les pertes de données et les violations de la confidentialité.Elle peut également couvrir les pertes financières résultant d'une interruption d'activité due à une cyberattaque.
</t>
    </r>
  </si>
  <si>
    <t>La consommation d'eau est de 220m³ d'eau au total. Pour le click and collect elle sera de 143m³ elle augmente de la même façon que le CA tous les ans au prix de 0,002840. par litre</t>
  </si>
  <si>
    <t>La consommation de gaz total est de 125Mwh à 80 euros le Mwh(=électricité). Elle augmenter comme le CA</t>
  </si>
  <si>
    <t xml:space="preserve">Assurance Multirisque pro </t>
  </si>
  <si>
    <t>Assurance Cyber-attaque</t>
  </si>
  <si>
    <t>Prix à l'année</t>
  </si>
  <si>
    <t>Un salarié à temps plein embauché à 6% au-dessus du Smic en raison de l'inflation et augmenter de 2% chaque année. Cotisation patronale de 40%. La salariée sera chargée de tout le click and collect (prise de commande, réalisation de commande, suivie des commandes....</t>
  </si>
  <si>
    <t>Entrées</t>
  </si>
  <si>
    <t>VNC</t>
  </si>
  <si>
    <t>Amortissements</t>
  </si>
  <si>
    <t>VR</t>
  </si>
  <si>
    <t>Année</t>
  </si>
  <si>
    <t>Comptoir avec caisse enregistreuse</t>
  </si>
  <si>
    <t>Tableau d'amortissement : Comptoir caisse enregistreuse + imprimante</t>
  </si>
  <si>
    <t>Tableau d'amortissement : site internet</t>
  </si>
  <si>
    <t>Tableau d'amortissement : Équipement (chambre froid+étuve+contenaire)</t>
  </si>
  <si>
    <t>Il n'y a pas de charges financières car nous ne réaliserons aucun emprunt. En effet nous passerons par les subventions.</t>
  </si>
  <si>
    <t>Dotations sur immobilisations</t>
  </si>
  <si>
    <t>RCAI</t>
  </si>
  <si>
    <t>Total Acquisition immo</t>
  </si>
  <si>
    <t>Charges Financières</t>
  </si>
  <si>
    <t>CAF prévisionnel</t>
  </si>
  <si>
    <t>Plan de financement Test</t>
  </si>
  <si>
    <t>Plan de financement Final</t>
  </si>
  <si>
    <t>Trésorerie initial</t>
  </si>
  <si>
    <t>Trésorerie final</t>
  </si>
  <si>
    <t>Décaissement de  la TVA</t>
  </si>
  <si>
    <t>TVA à décaisser</t>
  </si>
  <si>
    <t>TVA déd sur immo</t>
  </si>
  <si>
    <t>TVA déd sur achats</t>
  </si>
  <si>
    <t>TVA collectéé sur 
ventes</t>
  </si>
  <si>
    <t>Poste TVA à déc.</t>
  </si>
  <si>
    <t>Décembre</t>
  </si>
  <si>
    <t>Novembre</t>
  </si>
  <si>
    <t>Octobre</t>
  </si>
  <si>
    <t>Septembre</t>
  </si>
  <si>
    <t>Août</t>
  </si>
  <si>
    <t>Juillet</t>
  </si>
  <si>
    <t>Juin</t>
  </si>
  <si>
    <t>Mai</t>
  </si>
  <si>
    <t>Avril</t>
  </si>
  <si>
    <t>Mars</t>
  </si>
  <si>
    <t>Février</t>
  </si>
  <si>
    <t>TVA décaissé</t>
  </si>
  <si>
    <t>Tresorerie cumulée de cloture</t>
  </si>
  <si>
    <t>Trésorerie par mois de cloture</t>
  </si>
  <si>
    <t>Tresorerie d'ouverture</t>
  </si>
  <si>
    <t>Trésorerie</t>
  </si>
  <si>
    <t>TVA sur immo</t>
  </si>
  <si>
    <t>TVA sur achats</t>
  </si>
  <si>
    <t>Frais de communication</t>
  </si>
  <si>
    <t>Budget marketing et communication</t>
  </si>
  <si>
    <t>Loyer, assurance</t>
  </si>
  <si>
    <t>Electricité</t>
  </si>
  <si>
    <t>Eau</t>
  </si>
  <si>
    <t>Charges externes</t>
  </si>
  <si>
    <t>Charges d'intérêts</t>
  </si>
  <si>
    <t>Rbt crédit</t>
  </si>
  <si>
    <t>Impôts</t>
  </si>
  <si>
    <t>Charges patronales</t>
  </si>
  <si>
    <t>Charges sociales</t>
  </si>
  <si>
    <t>Salaires</t>
  </si>
  <si>
    <t>Immo</t>
  </si>
  <si>
    <t xml:space="preserve">Achats </t>
  </si>
  <si>
    <t>Décaissement</t>
  </si>
  <si>
    <t>TVA collectée</t>
  </si>
  <si>
    <t>Encaissements</t>
  </si>
  <si>
    <t xml:space="preserve">Explications : </t>
  </si>
  <si>
    <t xml:space="preserve">Subvention </t>
  </si>
  <si>
    <t>CA : Pas de CA Juillet / Août (vacance)</t>
  </si>
  <si>
    <t>Achat réglé sous 30 jours</t>
  </si>
  <si>
    <t xml:space="preserve">Salaire Net </t>
  </si>
  <si>
    <t>Communication/ Marketing</t>
  </si>
  <si>
    <t>Le budjet marketing a été estimé à 16% du CA</t>
  </si>
  <si>
    <t>Le prix d'un abonnement internet  coûte environ 20 euros celui du téléphone 20 euros il ne concernera que l'employé du C&amp;C</t>
  </si>
  <si>
    <t xml:space="preserve"> On part de l'hypothèse que le click and collect représente 65%  du CA actuel (donnée de l'enquête 65% des clients sont intéressés par le click and collect), Le CA total est de 45 000/mois. Le Clik and collect réprésente 29k et on prévoit une augmentation de 5%  la première année due au nouveau client intéresser par ce nouveau service ( résultat de l'étude de marché) puis 7,5% et enfin 10%.</t>
  </si>
  <si>
    <t>Hyphothèse Pessimiste:</t>
  </si>
  <si>
    <t xml:space="preserve"> L'hypothèse pessimiste suggére que l'introduction d'un service de click and collect ne permet aucune nouvelle affluence de la clientèle ainsi le CA ne change pas malgré les investissements faits.</t>
  </si>
  <si>
    <t>Les MP correspondent à l'ensemble des produits nécessaires à la vente (salade, sandwich, boissons, viennoiserie, pâtisserie, légumes… Les MP représentent  278k/ par an au total et à 65% du CA = 189 k. Ils augmentent de la même facon que le CA.</t>
  </si>
  <si>
    <t>Hyphothèse Optimiste :</t>
  </si>
  <si>
    <t>Le service de click and collecte fais un carton et permet d'augmenter la clientèle de 10% en N puis 15% en N+1 et enfin 20% en N+2.</t>
  </si>
  <si>
    <t xml:space="preserve">Taux de marge EBE /VA </t>
  </si>
  <si>
    <t>VA</t>
  </si>
  <si>
    <t>Au début, nous étions partis sur une demande de subvention qui reposait sur le montant total des investissements. Cependant, au regard de notre trésorerie la première année, nous nous sommes rendus compte que ce n'était pas suffisant (-12k). Nous avons donc augmenté cette demande de subvention afin d'avoir une meilleure stabilité financière. Bien évidemment, si cette demande se voit refusée, il est tout à fait possible de varier avec un autre mode de financement et ainsi passer par un prêt bancaire de 20k.</t>
  </si>
  <si>
    <t>Marge sur CV</t>
  </si>
  <si>
    <t xml:space="preserve">Taux de marge sur CV </t>
  </si>
  <si>
    <t xml:space="preserve">Seuil de rentabilité </t>
  </si>
  <si>
    <t xml:space="preserve">Charges Variables </t>
  </si>
  <si>
    <t xml:space="preserve">Charges fixes </t>
  </si>
  <si>
    <t xml:space="preserve">Le chiffre d'affaires minimum à réaliser pour être rentable est donc de 152 221 euros </t>
  </si>
  <si>
    <t xml:space="preserve">Point mort : </t>
  </si>
  <si>
    <t xml:space="preserve">L'activités devient rentable à partir du 177j </t>
  </si>
  <si>
    <t>Info :</t>
  </si>
  <si>
    <t>300j/CA car vacance en juillet août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</si>
</sst>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 * #,##0.00_)\ &quot;€&quot;_ ;_ * \(#,##0.00\)\ &quot;€&quot;_ ;_ * &quot;-&quot;??_)\ &quot;€&quot;_ ;_ @_ "/>
    <numFmt numFmtId="164" formatCode="_-* #,##0.00\ &quot;€&quot;_-;\-* #,##0.00\ &quot;€&quot;_-;_-* &quot;-&quot;??\ &quot;€&quot;_-;_-@_-"/>
    <numFmt numFmtId="165" formatCode="_-* #,##0.00000\ &quot;€&quot;_-;\-* #,##0.00000\ &quot;€&quot;_-;_-* &quot;-&quot;??\ &quot;€&quot;_-;_-@_-"/>
    <numFmt numFmtId="166" formatCode="_-* #,##0.000000\ &quot;€&quot;_-;\-* #,##0.000000\ &quot;€&quot;_-;_-* &quot;-&quot;??\ &quot;€&quot;_-;_-@_-"/>
    <numFmt numFmtId="167" formatCode="0.00&quot; m3&quot;"/>
    <numFmt numFmtId="168" formatCode="_-* #,##0\ &quot;€&quot;_-;\-* #,##0\ &quot;€&quot;_-;_-* &quot;-&quot;??\ &quot;€&quot;_-;_-@_-"/>
    <numFmt numFmtId="169" formatCode="0.00&quot; MWH&quot;"/>
    <numFmt numFmtId="170" formatCode="_-* #,##0\ &quot;€&quot;_-;\-* #,##0\ &quot;€&quot;_-;_-* &quot;-&quot;??????\ &quot;€&quot;_-;_-@_-"/>
    <numFmt numFmtId="171" formatCode="_-* #,##0.00\ &quot;€&quot;_-;\-* #,##0.00\ &quot;€&quot;_-;_-* &quot;-&quot;??????\ &quot;€&quot;_-;_-@_-"/>
    <numFmt numFmtId="172" formatCode="0.0%"/>
    <numFmt numFmtId="173" formatCode="_-* #,##0.00\ [$€-40C]_-;\-* #,##0.00\ [$€-40C]_-;_-* &quot;-&quot;??\ [$€-40C]_-;_-@_-"/>
  </numFmts>
  <fonts count="9"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b/>
      <u/>
      <sz val="18"/>
      <color theme="1"/>
      <name val="Calibri"/>
      <family val="2"/>
      <scheme val="minor"/>
    </font>
    <font>
      <b/>
      <sz val="12"/>
      <color theme="1"/>
      <name val="Calibri"/>
      <family val="2"/>
      <scheme val="minor"/>
    </font>
    <font>
      <sz val="16"/>
      <color rgb="FFFF0000"/>
      <name val="Calibri"/>
      <family val="2"/>
      <scheme val="minor"/>
    </font>
    <font>
      <sz val="11"/>
      <color theme="1"/>
      <name val="Calibri"/>
      <family val="2"/>
    </font>
    <font>
      <b/>
      <sz val="14"/>
      <color theme="1"/>
      <name val="Calibri"/>
      <family val="2"/>
      <scheme val="minor"/>
    </font>
  </fonts>
  <fills count="11">
    <fill>
      <patternFill patternType="none"/>
    </fill>
    <fill>
      <patternFill patternType="gray125"/>
    </fill>
    <fill>
      <patternFill patternType="solid">
        <fgColor theme="4" tint="0.39997558519241921"/>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5" tint="0.39997558519241921"/>
        <bgColor indexed="64"/>
      </patternFill>
    </fill>
    <fill>
      <patternFill patternType="solid">
        <fgColor theme="0"/>
        <bgColor indexed="64"/>
      </patternFill>
    </fill>
    <fill>
      <patternFill patternType="solid">
        <fgColor rgb="FFFFFF00"/>
        <bgColor indexed="64"/>
      </patternFill>
    </fill>
    <fill>
      <patternFill patternType="solid">
        <fgColor theme="8"/>
        <bgColor indexed="64"/>
      </patternFill>
    </fill>
    <fill>
      <patternFill patternType="solid">
        <fgColor theme="0"/>
        <bgColor rgb="FF000000"/>
      </patternFill>
    </fill>
    <fill>
      <patternFill patternType="solid">
        <fgColor theme="5" tint="-0.249977111117893"/>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169">
    <xf numFmtId="0" fontId="0" fillId="0" borderId="0" xfId="0"/>
    <xf numFmtId="0" fontId="0" fillId="0" borderId="1" xfId="0" applyBorder="1"/>
    <xf numFmtId="0" fontId="2" fillId="0" borderId="1" xfId="0" applyFont="1" applyBorder="1"/>
    <xf numFmtId="164" fontId="2" fillId="4" borderId="1" xfId="1" applyFont="1" applyFill="1" applyBorder="1"/>
    <xf numFmtId="164" fontId="2" fillId="0" borderId="1" xfId="1" applyFont="1" applyBorder="1"/>
    <xf numFmtId="164" fontId="0" fillId="0" borderId="1" xfId="1" applyFont="1" applyBorder="1"/>
    <xf numFmtId="164" fontId="0" fillId="3" borderId="1" xfId="1" applyFont="1" applyFill="1" applyBorder="1"/>
    <xf numFmtId="164" fontId="2" fillId="5" borderId="1" xfId="1" applyFont="1" applyFill="1" applyBorder="1"/>
    <xf numFmtId="0" fontId="2" fillId="5" borderId="1" xfId="0" applyFont="1" applyFill="1" applyBorder="1"/>
    <xf numFmtId="0" fontId="0" fillId="5" borderId="1" xfId="0" applyFill="1" applyBorder="1"/>
    <xf numFmtId="9" fontId="0" fillId="0" borderId="1" xfId="2" applyFont="1" applyBorder="1"/>
    <xf numFmtId="9" fontId="2" fillId="0" borderId="1" xfId="2" applyFont="1" applyBorder="1"/>
    <xf numFmtId="0" fontId="2" fillId="0" borderId="0" xfId="0" applyFont="1"/>
    <xf numFmtId="0" fontId="2" fillId="2" borderId="3" xfId="0" applyFont="1" applyFill="1" applyBorder="1" applyAlignment="1">
      <alignment horizontal="left"/>
    </xf>
    <xf numFmtId="0" fontId="2" fillId="2" borderId="4" xfId="0" applyFont="1" applyFill="1" applyBorder="1"/>
    <xf numFmtId="0" fontId="2" fillId="2" borderId="5" xfId="0" applyFont="1" applyFill="1" applyBorder="1"/>
    <xf numFmtId="0" fontId="2" fillId="4" borderId="6" xfId="0" applyFont="1" applyFill="1" applyBorder="1" applyAlignment="1">
      <alignment horizontal="center"/>
    </xf>
    <xf numFmtId="164" fontId="2" fillId="4" borderId="7" xfId="1" applyFont="1" applyFill="1" applyBorder="1"/>
    <xf numFmtId="0" fontId="0" fillId="0" borderId="6" xfId="0" applyBorder="1" applyAlignment="1">
      <alignment horizontal="left"/>
    </xf>
    <xf numFmtId="164" fontId="0" fillId="0" borderId="7" xfId="1" applyFont="1" applyBorder="1"/>
    <xf numFmtId="0" fontId="0" fillId="3" borderId="6" xfId="0" applyFill="1" applyBorder="1" applyAlignment="1">
      <alignment horizontal="left"/>
    </xf>
    <xf numFmtId="164" fontId="0" fillId="3" borderId="7" xfId="1" applyFont="1" applyFill="1" applyBorder="1"/>
    <xf numFmtId="0" fontId="2" fillId="3" borderId="8" xfId="0" applyFont="1" applyFill="1" applyBorder="1" applyAlignment="1">
      <alignment horizontal="left"/>
    </xf>
    <xf numFmtId="164" fontId="2" fillId="3" borderId="9" xfId="1" applyFont="1" applyFill="1" applyBorder="1"/>
    <xf numFmtId="164" fontId="2" fillId="3" borderId="10" xfId="1" applyFont="1" applyFill="1" applyBorder="1"/>
    <xf numFmtId="44" fontId="0" fillId="0" borderId="0" xfId="0" applyNumberFormat="1"/>
    <xf numFmtId="0" fontId="2" fillId="0" borderId="1" xfId="0" applyFont="1" applyBorder="1" applyAlignment="1">
      <alignment horizontal="left" vertical="top"/>
    </xf>
    <xf numFmtId="164" fontId="2" fillId="0" borderId="11" xfId="1" applyFont="1" applyBorder="1" applyAlignment="1">
      <alignment horizontal="right" vertical="top"/>
    </xf>
    <xf numFmtId="0" fontId="2" fillId="0" borderId="15" xfId="0" applyFont="1" applyBorder="1"/>
    <xf numFmtId="0" fontId="2" fillId="0" borderId="16" xfId="0" applyFont="1" applyBorder="1"/>
    <xf numFmtId="165" fontId="0" fillId="0" borderId="0" xfId="1" applyNumberFormat="1" applyFont="1" applyBorder="1"/>
    <xf numFmtId="164" fontId="0" fillId="0" borderId="16" xfId="1" applyFont="1" applyBorder="1"/>
    <xf numFmtId="1" fontId="0" fillId="0" borderId="0" xfId="0" applyNumberFormat="1"/>
    <xf numFmtId="0" fontId="2" fillId="0" borderId="17" xfId="0" applyFont="1" applyBorder="1"/>
    <xf numFmtId="0" fontId="2" fillId="0" borderId="18" xfId="0" applyFont="1" applyBorder="1"/>
    <xf numFmtId="165" fontId="2" fillId="0" borderId="18" xfId="1" applyNumberFormat="1" applyFont="1" applyBorder="1"/>
    <xf numFmtId="164" fontId="2" fillId="0" borderId="19" xfId="1" applyFont="1" applyBorder="1"/>
    <xf numFmtId="164" fontId="2" fillId="0" borderId="18" xfId="0" applyNumberFormat="1" applyFont="1" applyBorder="1"/>
    <xf numFmtId="164" fontId="2" fillId="0" borderId="19" xfId="0" applyNumberFormat="1" applyFont="1" applyBorder="1"/>
    <xf numFmtId="0" fontId="3" fillId="7" borderId="12" xfId="0" applyFont="1" applyFill="1" applyBorder="1"/>
    <xf numFmtId="2" fontId="3" fillId="7" borderId="13" xfId="0" applyNumberFormat="1" applyFont="1" applyFill="1" applyBorder="1"/>
    <xf numFmtId="0" fontId="3" fillId="7" borderId="13" xfId="0" applyFont="1" applyFill="1" applyBorder="1"/>
    <xf numFmtId="0" fontId="3" fillId="7" borderId="14" xfId="0" applyFont="1" applyFill="1" applyBorder="1"/>
    <xf numFmtId="0" fontId="2" fillId="0" borderId="3" xfId="0" applyFont="1" applyBorder="1"/>
    <xf numFmtId="0" fontId="2" fillId="0" borderId="4" xfId="0" applyFont="1" applyBorder="1"/>
    <xf numFmtId="0" fontId="2" fillId="0" borderId="5" xfId="0" applyFont="1" applyBorder="1"/>
    <xf numFmtId="0" fontId="2" fillId="7" borderId="6" xfId="0" applyFont="1" applyFill="1" applyBorder="1"/>
    <xf numFmtId="164" fontId="0" fillId="7" borderId="1" xfId="1" applyFont="1" applyFill="1" applyBorder="1"/>
    <xf numFmtId="164" fontId="0" fillId="7" borderId="7" xfId="1" applyFont="1" applyFill="1" applyBorder="1"/>
    <xf numFmtId="167" fontId="0" fillId="0" borderId="1" xfId="0" applyNumberFormat="1" applyBorder="1"/>
    <xf numFmtId="166" fontId="0" fillId="0" borderId="1" xfId="1" applyNumberFormat="1" applyFont="1" applyBorder="1"/>
    <xf numFmtId="10" fontId="0" fillId="0" borderId="1" xfId="2" applyNumberFormat="1" applyFont="1" applyBorder="1"/>
    <xf numFmtId="0" fontId="2" fillId="7" borderId="1" xfId="0" applyFont="1" applyFill="1" applyBorder="1"/>
    <xf numFmtId="164" fontId="0" fillId="0" borderId="0" xfId="1" applyFont="1" applyBorder="1"/>
    <xf numFmtId="169" fontId="0" fillId="0" borderId="1" xfId="0" applyNumberFormat="1" applyBorder="1"/>
    <xf numFmtId="168" fontId="0" fillId="0" borderId="1" xfId="1" applyNumberFormat="1" applyFont="1" applyBorder="1"/>
    <xf numFmtId="170" fontId="0" fillId="0" borderId="1" xfId="0" applyNumberFormat="1" applyBorder="1"/>
    <xf numFmtId="171" fontId="0" fillId="0" borderId="1" xfId="0" applyNumberFormat="1" applyBorder="1"/>
    <xf numFmtId="171" fontId="2" fillId="7" borderId="1" xfId="0" applyNumberFormat="1" applyFont="1" applyFill="1" applyBorder="1"/>
    <xf numFmtId="170" fontId="2" fillId="7" borderId="1" xfId="0" applyNumberFormat="1" applyFont="1" applyFill="1" applyBorder="1"/>
    <xf numFmtId="168" fontId="2" fillId="4" borderId="1" xfId="1" applyNumberFormat="1" applyFont="1" applyFill="1" applyBorder="1"/>
    <xf numFmtId="168" fontId="2" fillId="3" borderId="1" xfId="1" applyNumberFormat="1" applyFont="1" applyFill="1" applyBorder="1"/>
    <xf numFmtId="0" fontId="0" fillId="0" borderId="0" xfId="0" applyAlignment="1">
      <alignment wrapText="1"/>
    </xf>
    <xf numFmtId="0" fontId="0" fillId="0" borderId="0" xfId="0" applyAlignment="1">
      <alignment vertical="top" wrapText="1"/>
    </xf>
    <xf numFmtId="168" fontId="2" fillId="4" borderId="1" xfId="1" applyNumberFormat="1" applyFont="1" applyFill="1" applyBorder="1" applyAlignment="1">
      <alignment horizontal="center" vertical="center"/>
    </xf>
    <xf numFmtId="168" fontId="2" fillId="0" borderId="1" xfId="1" applyNumberFormat="1" applyFont="1" applyBorder="1" applyAlignment="1">
      <alignment vertical="center" wrapText="1"/>
    </xf>
    <xf numFmtId="168" fontId="2" fillId="4" borderId="1" xfId="1" applyNumberFormat="1" applyFont="1" applyFill="1" applyBorder="1" applyAlignment="1">
      <alignment vertical="center"/>
    </xf>
    <xf numFmtId="168" fontId="2" fillId="3" borderId="1" xfId="1" applyNumberFormat="1" applyFont="1" applyFill="1" applyBorder="1" applyAlignment="1">
      <alignment vertical="center"/>
    </xf>
    <xf numFmtId="168" fontId="0" fillId="0" borderId="1" xfId="1" applyNumberFormat="1" applyFont="1" applyBorder="1" applyAlignment="1">
      <alignment vertical="center"/>
    </xf>
    <xf numFmtId="0" fontId="2" fillId="0" borderId="19" xfId="0" applyFont="1" applyBorder="1"/>
    <xf numFmtId="0" fontId="2" fillId="7" borderId="12" xfId="0" applyFont="1" applyFill="1" applyBorder="1" applyAlignment="1">
      <alignment horizontal="center"/>
    </xf>
    <xf numFmtId="0" fontId="2" fillId="7" borderId="14" xfId="0" applyFont="1" applyFill="1" applyBorder="1" applyAlignment="1">
      <alignment horizontal="center"/>
    </xf>
    <xf numFmtId="0" fontId="0" fillId="7" borderId="12" xfId="0" applyFill="1" applyBorder="1" applyAlignment="1">
      <alignment horizontal="center"/>
    </xf>
    <xf numFmtId="0" fontId="0" fillId="7" borderId="13" xfId="0" applyFill="1" applyBorder="1" applyAlignment="1">
      <alignment horizontal="center"/>
    </xf>
    <xf numFmtId="0" fontId="0" fillId="7" borderId="14" xfId="0" applyFill="1" applyBorder="1" applyAlignment="1">
      <alignment horizontal="center"/>
    </xf>
    <xf numFmtId="168" fontId="0" fillId="0" borderId="1" xfId="0" applyNumberFormat="1" applyBorder="1" applyAlignment="1">
      <alignment vertical="center"/>
    </xf>
    <xf numFmtId="0" fontId="2" fillId="2" borderId="11" xfId="0" applyFont="1" applyFill="1" applyBorder="1"/>
    <xf numFmtId="0" fontId="5" fillId="0" borderId="0" xfId="0" applyFont="1" applyAlignment="1">
      <alignment horizontal="center"/>
    </xf>
    <xf numFmtId="172" fontId="0" fillId="0" borderId="1" xfId="2" applyNumberFormat="1" applyFont="1" applyBorder="1"/>
    <xf numFmtId="0" fontId="2" fillId="0" borderId="8" xfId="0" applyFont="1" applyBorder="1"/>
    <xf numFmtId="164" fontId="0" fillId="0" borderId="9" xfId="0" applyNumberFormat="1" applyBorder="1"/>
    <xf numFmtId="164" fontId="0" fillId="0" borderId="10" xfId="0" applyNumberFormat="1" applyBorder="1"/>
    <xf numFmtId="0" fontId="0" fillId="0" borderId="0" xfId="0" applyAlignment="1">
      <alignment vertical="center" wrapText="1"/>
    </xf>
    <xf numFmtId="0" fontId="0" fillId="0" borderId="0" xfId="0" applyAlignment="1">
      <alignment horizontal="center" vertical="center" wrapText="1"/>
    </xf>
    <xf numFmtId="164" fontId="2" fillId="0" borderId="0" xfId="1" applyFont="1" applyBorder="1"/>
    <xf numFmtId="0" fontId="0" fillId="0" borderId="11" xfId="0" applyBorder="1"/>
    <xf numFmtId="0" fontId="2" fillId="0" borderId="1" xfId="0" applyFont="1" applyBorder="1" applyAlignment="1">
      <alignment horizontal="center"/>
    </xf>
    <xf numFmtId="168" fontId="0" fillId="0" borderId="1" xfId="0" applyNumberFormat="1" applyBorder="1" applyAlignment="1">
      <alignment horizontal="center" vertical="center"/>
    </xf>
    <xf numFmtId="168" fontId="0" fillId="0" borderId="1" xfId="1" applyNumberFormat="1" applyFont="1" applyBorder="1" applyAlignment="1">
      <alignment horizontal="center" vertical="center"/>
    </xf>
    <xf numFmtId="0" fontId="2" fillId="0" borderId="1" xfId="0" applyFont="1" applyBorder="1" applyAlignment="1">
      <alignment horizontal="center" vertical="center"/>
    </xf>
    <xf numFmtId="168" fontId="2" fillId="0" borderId="1" xfId="0" applyNumberFormat="1" applyFont="1" applyBorder="1" applyAlignment="1">
      <alignment horizontal="center" vertical="center"/>
    </xf>
    <xf numFmtId="168" fontId="2" fillId="5" borderId="1" xfId="0" applyNumberFormat="1" applyFont="1" applyFill="1" applyBorder="1" applyAlignment="1">
      <alignment horizontal="center" vertical="center"/>
    </xf>
    <xf numFmtId="0" fontId="2" fillId="5" borderId="1" xfId="0" applyFont="1" applyFill="1" applyBorder="1" applyAlignment="1">
      <alignment horizontal="center" vertical="center"/>
    </xf>
    <xf numFmtId="0" fontId="0" fillId="6" borderId="1" xfId="0" applyFill="1" applyBorder="1"/>
    <xf numFmtId="0" fontId="2" fillId="4" borderId="1" xfId="0" applyFont="1" applyFill="1" applyBorder="1" applyAlignment="1">
      <alignment horizontal="center" vertical="center"/>
    </xf>
    <xf numFmtId="0" fontId="2" fillId="0" borderId="1" xfId="0" applyFont="1" applyBorder="1" applyAlignment="1">
      <alignment horizontal="center" vertical="center" wrapText="1"/>
    </xf>
    <xf numFmtId="0" fontId="2" fillId="4" borderId="1" xfId="0" applyFont="1" applyFill="1" applyBorder="1" applyAlignment="1">
      <alignment vertical="center"/>
    </xf>
    <xf numFmtId="0" fontId="2" fillId="3" borderId="1" xfId="0" applyFont="1" applyFill="1" applyBorder="1" applyAlignment="1">
      <alignment horizontal="left" vertical="center"/>
    </xf>
    <xf numFmtId="0" fontId="0" fillId="0" borderId="1" xfId="0" applyBorder="1" applyAlignment="1">
      <alignment horizontal="center" vertical="center"/>
    </xf>
    <xf numFmtId="0" fontId="2" fillId="4" borderId="1" xfId="0" applyFont="1" applyFill="1" applyBorder="1" applyAlignment="1">
      <alignment horizontal="left"/>
    </xf>
    <xf numFmtId="0" fontId="2" fillId="3" borderId="1" xfId="0" applyFont="1" applyFill="1" applyBorder="1" applyAlignment="1">
      <alignment horizontal="left"/>
    </xf>
    <xf numFmtId="164" fontId="1" fillId="6" borderId="1" xfId="1" applyFont="1" applyFill="1" applyBorder="1"/>
    <xf numFmtId="164" fontId="0" fillId="0" borderId="1" xfId="1" applyFont="1" applyFill="1" applyBorder="1"/>
    <xf numFmtId="0" fontId="2" fillId="0" borderId="1" xfId="0" applyFont="1" applyBorder="1" applyAlignment="1">
      <alignment horizontal="left" vertical="center"/>
    </xf>
    <xf numFmtId="0" fontId="0" fillId="0" borderId="1" xfId="0" applyBorder="1" applyAlignment="1">
      <alignment horizontal="left" vertical="center"/>
    </xf>
    <xf numFmtId="164" fontId="0" fillId="0" borderId="1" xfId="1" applyFont="1" applyBorder="1" applyAlignment="1">
      <alignment horizontal="left" vertical="center"/>
    </xf>
    <xf numFmtId="9" fontId="0" fillId="0" borderId="1" xfId="2" applyFont="1" applyBorder="1" applyAlignment="1">
      <alignment horizontal="left" vertical="center"/>
    </xf>
    <xf numFmtId="172" fontId="0" fillId="0" borderId="1" xfId="2" applyNumberFormat="1" applyFont="1" applyBorder="1" applyAlignment="1">
      <alignment horizontal="left" vertical="center"/>
    </xf>
    <xf numFmtId="0" fontId="2" fillId="5" borderId="1" xfId="0" applyFont="1" applyFill="1" applyBorder="1" applyAlignment="1">
      <alignment horizontal="left" vertical="center"/>
    </xf>
    <xf numFmtId="164" fontId="2" fillId="5" borderId="1" xfId="1" applyFont="1" applyFill="1" applyBorder="1" applyAlignment="1">
      <alignment horizontal="left" vertical="center"/>
    </xf>
    <xf numFmtId="0" fontId="6" fillId="0" borderId="0" xfId="0" applyFont="1"/>
    <xf numFmtId="164" fontId="0" fillId="0" borderId="0" xfId="0" applyNumberFormat="1"/>
    <xf numFmtId="0" fontId="0" fillId="0" borderId="0" xfId="0" quotePrefix="1"/>
    <xf numFmtId="0" fontId="2" fillId="0" borderId="0" xfId="0" applyFont="1" applyAlignment="1">
      <alignment wrapText="1"/>
    </xf>
    <xf numFmtId="164" fontId="0" fillId="0" borderId="0" xfId="1" applyFont="1" applyBorder="1" applyAlignment="1">
      <alignment horizontal="right"/>
    </xf>
    <xf numFmtId="0" fontId="0" fillId="0" borderId="1" xfId="0" applyBorder="1" applyAlignment="1">
      <alignment wrapText="1"/>
    </xf>
    <xf numFmtId="164" fontId="0" fillId="0" borderId="11" xfId="1" applyFont="1" applyBorder="1"/>
    <xf numFmtId="164" fontId="0" fillId="0" borderId="2" xfId="1" applyFont="1" applyBorder="1"/>
    <xf numFmtId="0" fontId="0" fillId="0" borderId="2" xfId="0" applyBorder="1"/>
    <xf numFmtId="164" fontId="0" fillId="0" borderId="23" xfId="1" applyFont="1" applyBorder="1"/>
    <xf numFmtId="164" fontId="0" fillId="6" borderId="23" xfId="1" applyFont="1" applyFill="1" applyBorder="1"/>
    <xf numFmtId="0" fontId="0" fillId="0" borderId="23" xfId="0" applyBorder="1"/>
    <xf numFmtId="164" fontId="0" fillId="0" borderId="0" xfId="1" applyFont="1" applyAlignment="1">
      <alignment horizontal="right"/>
    </xf>
    <xf numFmtId="0" fontId="0" fillId="6" borderId="11" xfId="0" applyFill="1" applyBorder="1"/>
    <xf numFmtId="0" fontId="2" fillId="6" borderId="11" xfId="0" applyFont="1" applyFill="1" applyBorder="1"/>
    <xf numFmtId="164" fontId="0" fillId="6" borderId="11" xfId="1" applyFont="1" applyFill="1" applyBorder="1"/>
    <xf numFmtId="0" fontId="7" fillId="9" borderId="11" xfId="0" applyFont="1" applyFill="1" applyBorder="1" applyAlignment="1">
      <alignment horizontal="left"/>
    </xf>
    <xf numFmtId="164" fontId="0" fillId="6" borderId="27" xfId="1" applyFont="1" applyFill="1" applyBorder="1"/>
    <xf numFmtId="0" fontId="7" fillId="9" borderId="27" xfId="0" applyFont="1" applyFill="1" applyBorder="1" applyAlignment="1">
      <alignment horizontal="left"/>
    </xf>
    <xf numFmtId="0" fontId="7" fillId="9" borderId="27" xfId="0" applyFont="1" applyFill="1" applyBorder="1" applyAlignment="1">
      <alignment horizontal="left" indent="1"/>
    </xf>
    <xf numFmtId="0" fontId="7" fillId="9" borderId="27" xfId="0" applyFont="1" applyFill="1" applyBorder="1"/>
    <xf numFmtId="0" fontId="0" fillId="6" borderId="27" xfId="0" applyFill="1" applyBorder="1" applyAlignment="1">
      <alignment horizontal="left" indent="2"/>
    </xf>
    <xf numFmtId="164" fontId="0" fillId="6" borderId="28" xfId="1" applyFont="1" applyFill="1" applyBorder="1"/>
    <xf numFmtId="0" fontId="0" fillId="0" borderId="20" xfId="0" applyBorder="1"/>
    <xf numFmtId="164" fontId="0" fillId="0" borderId="29" xfId="1" applyFont="1" applyBorder="1"/>
    <xf numFmtId="164" fontId="0" fillId="0" borderId="30" xfId="1" applyFont="1" applyBorder="1"/>
    <xf numFmtId="0" fontId="0" fillId="6" borderId="23" xfId="0" applyFill="1" applyBorder="1" applyAlignment="1">
      <alignment horizontal="left" indent="2"/>
    </xf>
    <xf numFmtId="0" fontId="0" fillId="6" borderId="20" xfId="0" applyFill="1" applyBorder="1"/>
    <xf numFmtId="0" fontId="0" fillId="6" borderId="27" xfId="0" applyFill="1" applyBorder="1"/>
    <xf numFmtId="0" fontId="2" fillId="6" borderId="27" xfId="0" applyFont="1" applyFill="1" applyBorder="1" applyAlignment="1">
      <alignment horizontal="left"/>
    </xf>
    <xf numFmtId="164" fontId="0" fillId="6" borderId="22" xfId="1" applyFont="1" applyFill="1" applyBorder="1"/>
    <xf numFmtId="0" fontId="0" fillId="6" borderId="11" xfId="0" applyFill="1" applyBorder="1" applyAlignment="1">
      <alignment horizontal="left" indent="2"/>
    </xf>
    <xf numFmtId="164" fontId="0" fillId="0" borderId="20" xfId="0" applyNumberFormat="1" applyBorder="1"/>
    <xf numFmtId="164" fontId="0" fillId="6" borderId="31" xfId="1" applyFont="1" applyFill="1" applyBorder="1"/>
    <xf numFmtId="0" fontId="0" fillId="6" borderId="23" xfId="0" applyFill="1" applyBorder="1"/>
    <xf numFmtId="0" fontId="2" fillId="6" borderId="23" xfId="0" applyFont="1" applyFill="1" applyBorder="1"/>
    <xf numFmtId="0" fontId="8" fillId="0" borderId="0" xfId="0" applyFont="1"/>
    <xf numFmtId="0" fontId="0" fillId="6" borderId="1" xfId="0" applyFill="1" applyBorder="1" applyAlignment="1">
      <alignment horizontal="center" vertical="center"/>
    </xf>
    <xf numFmtId="164" fontId="2" fillId="5" borderId="1" xfId="0" applyNumberFormat="1" applyFont="1" applyFill="1" applyBorder="1"/>
    <xf numFmtId="0" fontId="2" fillId="5" borderId="26" xfId="0" applyFont="1" applyFill="1" applyBorder="1"/>
    <xf numFmtId="164" fontId="2" fillId="5" borderId="25" xfId="1" applyFont="1" applyFill="1" applyBorder="1"/>
    <xf numFmtId="164" fontId="2" fillId="5" borderId="24" xfId="1" applyFont="1" applyFill="1" applyBorder="1"/>
    <xf numFmtId="0" fontId="2" fillId="10" borderId="26" xfId="0" applyFont="1" applyFill="1" applyBorder="1"/>
    <xf numFmtId="164" fontId="2" fillId="10" borderId="25" xfId="1" applyFont="1" applyFill="1" applyBorder="1"/>
    <xf numFmtId="164" fontId="2" fillId="10" borderId="24" xfId="1" applyFont="1" applyFill="1" applyBorder="1"/>
    <xf numFmtId="168" fontId="0" fillId="0" borderId="0" xfId="0" applyNumberFormat="1"/>
    <xf numFmtId="173" fontId="0" fillId="0" borderId="0" xfId="0" applyNumberFormat="1"/>
    <xf numFmtId="10" fontId="0" fillId="0" borderId="0" xfId="2" applyNumberFormat="1" applyFont="1"/>
    <xf numFmtId="0" fontId="4" fillId="7" borderId="1" xfId="0" applyFont="1" applyFill="1" applyBorder="1" applyAlignment="1">
      <alignment horizontal="center"/>
    </xf>
    <xf numFmtId="0" fontId="2" fillId="7" borderId="12" xfId="0" applyFont="1" applyFill="1" applyBorder="1" applyAlignment="1">
      <alignment horizontal="center"/>
    </xf>
    <xf numFmtId="0" fontId="2" fillId="7" borderId="14" xfId="0" applyFont="1" applyFill="1" applyBorder="1" applyAlignment="1">
      <alignment horizontal="center"/>
    </xf>
    <xf numFmtId="0" fontId="2" fillId="7" borderId="13" xfId="0" applyFont="1" applyFill="1" applyBorder="1" applyAlignment="1">
      <alignment horizontal="center"/>
    </xf>
    <xf numFmtId="0" fontId="0" fillId="0" borderId="0" xfId="0" applyAlignment="1">
      <alignment horizontal="center"/>
    </xf>
    <xf numFmtId="0" fontId="0" fillId="0" borderId="0" xfId="0" applyAlignment="1">
      <alignment horizontal="center" vertical="top" wrapText="1"/>
    </xf>
    <xf numFmtId="0" fontId="0" fillId="10" borderId="0" xfId="0" applyFill="1" applyAlignment="1">
      <alignment horizontal="center" wrapText="1"/>
    </xf>
    <xf numFmtId="0" fontId="3" fillId="10" borderId="0" xfId="0" applyFont="1" applyFill="1" applyAlignment="1">
      <alignment horizontal="center" vertical="center" wrapText="1"/>
    </xf>
    <xf numFmtId="0" fontId="2" fillId="8" borderId="21" xfId="0" applyFont="1" applyFill="1" applyBorder="1" applyAlignment="1">
      <alignment horizontal="center" vertical="center" wrapText="1"/>
    </xf>
    <xf numFmtId="0" fontId="2" fillId="8" borderId="21" xfId="0" applyFont="1" applyFill="1" applyBorder="1" applyAlignment="1">
      <alignment horizontal="center"/>
    </xf>
    <xf numFmtId="0" fontId="0" fillId="6" borderId="0" xfId="0" applyFill="1" applyAlignment="1">
      <alignment horizontal="left" vertical="top" wrapText="1"/>
    </xf>
  </cellXfs>
  <cellStyles count="3">
    <cellStyle name="Monétaire" xfId="1" builtinId="4"/>
    <cellStyle name="Normal" xfId="0" builtinId="0"/>
    <cellStyle name="Pourcentag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F435E-90FD-4B86-9119-FBDF7215FE6B}">
  <dimension ref="A1:O95"/>
  <sheetViews>
    <sheetView tabSelected="1" zoomScale="80" zoomScaleNormal="80" workbookViewId="0">
      <selection activeCell="H12" sqref="H12"/>
    </sheetView>
  </sheetViews>
  <sheetFormatPr baseColWidth="10" defaultRowHeight="15" x14ac:dyDescent="0.2"/>
  <cols>
    <col min="1" max="1" width="63.1640625" customWidth="1"/>
    <col min="2" max="2" width="32.1640625" bestFit="1" customWidth="1"/>
    <col min="3" max="3" width="17.1640625" customWidth="1"/>
    <col min="4" max="5" width="17.1640625" bestFit="1" customWidth="1"/>
    <col min="6" max="6" width="19.83203125" customWidth="1"/>
    <col min="7" max="7" width="31.83203125" customWidth="1"/>
    <col min="8" max="10" width="16.1640625" bestFit="1" customWidth="1"/>
    <col min="11" max="11" width="13.1640625" bestFit="1" customWidth="1"/>
    <col min="12" max="12" width="36.83203125" customWidth="1"/>
    <col min="13" max="13" width="14.5" customWidth="1"/>
    <col min="14" max="14" width="14.1640625" customWidth="1"/>
    <col min="15" max="15" width="26.33203125" customWidth="1"/>
    <col min="16" max="17" width="17.83203125" customWidth="1"/>
    <col min="18" max="18" width="19.83203125" customWidth="1"/>
  </cols>
  <sheetData>
    <row r="1" spans="1:15" ht="24" x14ac:dyDescent="0.3">
      <c r="A1" s="158" t="s">
        <v>91</v>
      </c>
      <c r="B1" s="158"/>
      <c r="C1" s="158"/>
      <c r="D1" s="158"/>
      <c r="E1" s="158"/>
      <c r="G1" s="103" t="s">
        <v>4</v>
      </c>
      <c r="H1" s="103" t="s">
        <v>0</v>
      </c>
      <c r="I1" s="103" t="s">
        <v>1</v>
      </c>
      <c r="J1" s="103" t="s">
        <v>2</v>
      </c>
      <c r="L1" s="43"/>
      <c r="M1" s="44" t="s">
        <v>37</v>
      </c>
      <c r="N1" s="44" t="s">
        <v>1</v>
      </c>
      <c r="O1" s="45" t="s">
        <v>94</v>
      </c>
    </row>
    <row r="2" spans="1:15" ht="16" x14ac:dyDescent="0.2">
      <c r="A2" s="77" t="s">
        <v>86</v>
      </c>
      <c r="B2" s="76" t="s">
        <v>41</v>
      </c>
      <c r="C2" s="76" t="s">
        <v>0</v>
      </c>
      <c r="D2" s="76" t="s">
        <v>1</v>
      </c>
      <c r="E2" s="76" t="s">
        <v>2</v>
      </c>
      <c r="G2" s="104" t="s">
        <v>65</v>
      </c>
      <c r="H2" s="105">
        <f>$M2*10</f>
        <v>451750</v>
      </c>
      <c r="I2" s="105">
        <f>$M2*10</f>
        <v>451750</v>
      </c>
      <c r="J2" s="105">
        <f>$M2*10</f>
        <v>451750</v>
      </c>
      <c r="L2" s="46" t="s">
        <v>93</v>
      </c>
      <c r="M2" s="47">
        <f>45175</f>
        <v>45175</v>
      </c>
      <c r="N2" s="47">
        <f>45175</f>
        <v>45175</v>
      </c>
      <c r="O2" s="48">
        <f>45175</f>
        <v>45175</v>
      </c>
    </row>
    <row r="3" spans="1:15" ht="95.5" customHeight="1" thickBot="1" x14ac:dyDescent="0.25">
      <c r="A3" s="82" t="s">
        <v>174</v>
      </c>
      <c r="B3" s="94" t="s">
        <v>92</v>
      </c>
      <c r="C3" s="64" cm="1">
        <f t="array" ref="C3:E3">+H5:J5</f>
        <v>308319.375</v>
      </c>
      <c r="D3" s="64">
        <v>331443.328125</v>
      </c>
      <c r="E3" s="64">
        <v>364587.66093750001</v>
      </c>
      <c r="G3" s="104" t="s">
        <v>66</v>
      </c>
      <c r="H3" s="105">
        <f>H2*0.65</f>
        <v>293637.5</v>
      </c>
      <c r="I3" s="105">
        <f>I2*0.65</f>
        <v>293637.5</v>
      </c>
      <c r="J3" s="105">
        <f t="shared" ref="J3" si="0">J2*0.65</f>
        <v>293637.5</v>
      </c>
      <c r="L3" s="79" t="s">
        <v>95</v>
      </c>
      <c r="M3" s="80">
        <f>(M2*0.65)*1.05</f>
        <v>30831.9375</v>
      </c>
      <c r="N3" s="81">
        <f>M3*1.075</f>
        <v>33144.332812499997</v>
      </c>
      <c r="O3" s="81">
        <f>N3*1.1</f>
        <v>36458.766093749997</v>
      </c>
    </row>
    <row r="4" spans="1:15" s="62" customFormat="1" ht="72" customHeight="1" x14ac:dyDescent="0.2">
      <c r="A4" s="82" t="s">
        <v>96</v>
      </c>
      <c r="B4" s="95" t="s">
        <v>5</v>
      </c>
      <c r="C4" s="65">
        <f>C29</f>
        <v>189735</v>
      </c>
      <c r="D4" s="65">
        <f>D29</f>
        <v>194252.5</v>
      </c>
      <c r="E4" s="65">
        <f>E29</f>
        <v>198770.00000000003</v>
      </c>
      <c r="G4" s="104" t="s">
        <v>67</v>
      </c>
      <c r="H4" s="106">
        <v>0.05</v>
      </c>
      <c r="I4" s="107">
        <v>7.4999999999999997E-2</v>
      </c>
      <c r="J4" s="106">
        <v>0.1</v>
      </c>
    </row>
    <row r="5" spans="1:15" x14ac:dyDescent="0.2">
      <c r="A5" s="162"/>
      <c r="B5" s="96" t="s">
        <v>9</v>
      </c>
      <c r="C5" s="66">
        <f>C3-C4</f>
        <v>118584.375</v>
      </c>
      <c r="D5" s="66">
        <f>D3-D4</f>
        <v>137190.828125</v>
      </c>
      <c r="E5" s="66">
        <f>E3-E4</f>
        <v>165817.66093749998</v>
      </c>
      <c r="G5" s="108" t="s">
        <v>3</v>
      </c>
      <c r="H5" s="109">
        <f>H3*1.05</f>
        <v>308319.375</v>
      </c>
      <c r="I5" s="109">
        <f>H5*1.075</f>
        <v>331443.328125</v>
      </c>
      <c r="J5" s="109">
        <f>I5*1.1</f>
        <v>364587.66093750001</v>
      </c>
    </row>
    <row r="6" spans="1:15" ht="14.25" customHeight="1" x14ac:dyDescent="0.2">
      <c r="A6" s="162"/>
      <c r="B6" s="97" t="s">
        <v>6</v>
      </c>
      <c r="C6" s="67">
        <f>SUM(C7:C13)</f>
        <v>55506.789065600002</v>
      </c>
      <c r="D6" s="67">
        <f>SUM(D7:D13)</f>
        <v>59066.423245520004</v>
      </c>
      <c r="E6" s="67">
        <f>SUM(E7:E13)</f>
        <v>64168.565570072002</v>
      </c>
    </row>
    <row r="7" spans="1:15" ht="81.75" customHeight="1" x14ac:dyDescent="0.2">
      <c r="A7" s="83" t="s">
        <v>97</v>
      </c>
      <c r="B7" s="98" t="s">
        <v>7</v>
      </c>
      <c r="C7" s="68">
        <f>C45</f>
        <v>40210.363065600002</v>
      </c>
      <c r="D7" s="68">
        <f>D45</f>
        <v>43226.140295520003</v>
      </c>
      <c r="E7" s="68">
        <f>E45</f>
        <v>47548.754325072005</v>
      </c>
      <c r="H7" s="155">
        <f>I7*H8</f>
        <v>29363750</v>
      </c>
      <c r="I7" s="111">
        <f>H3</f>
        <v>293637.5</v>
      </c>
    </row>
    <row r="8" spans="1:15" ht="38.25" customHeight="1" x14ac:dyDescent="0.2">
      <c r="A8" s="82" t="s">
        <v>98</v>
      </c>
      <c r="B8" s="98" t="s">
        <v>74</v>
      </c>
      <c r="C8" s="68">
        <f>150+15</f>
        <v>165</v>
      </c>
      <c r="D8" s="68">
        <f>150+15</f>
        <v>165</v>
      </c>
      <c r="E8" s="68">
        <f>150+15</f>
        <v>165</v>
      </c>
      <c r="F8" s="53"/>
      <c r="H8">
        <v>100</v>
      </c>
      <c r="I8" s="111">
        <f>J5</f>
        <v>364587.66093750001</v>
      </c>
    </row>
    <row r="9" spans="1:15" ht="102" customHeight="1" x14ac:dyDescent="0.2">
      <c r="A9" s="63" t="s">
        <v>99</v>
      </c>
      <c r="B9" s="98" t="s">
        <v>10</v>
      </c>
      <c r="C9" s="68">
        <f>2400</f>
        <v>2400</v>
      </c>
      <c r="D9" s="68">
        <f>C9</f>
        <v>2400</v>
      </c>
      <c r="E9" s="68">
        <f>D9</f>
        <v>2400</v>
      </c>
      <c r="H9">
        <f>H7/I8</f>
        <v>80.539615423336357</v>
      </c>
    </row>
    <row r="10" spans="1:15" ht="45.75" customHeight="1" x14ac:dyDescent="0.2">
      <c r="A10" s="62" t="s">
        <v>100</v>
      </c>
      <c r="B10" s="98" t="s">
        <v>75</v>
      </c>
      <c r="C10" s="75">
        <v>426.4260000000001</v>
      </c>
      <c r="D10" s="75">
        <v>458.40795000000008</v>
      </c>
      <c r="E10" s="75">
        <v>504.24874500000016</v>
      </c>
    </row>
    <row r="11" spans="1:15" ht="42.5" customHeight="1" x14ac:dyDescent="0.2">
      <c r="A11" s="63" t="s">
        <v>173</v>
      </c>
      <c r="B11" s="98" t="s">
        <v>73</v>
      </c>
      <c r="C11" s="68">
        <f>40*12</f>
        <v>480</v>
      </c>
      <c r="D11" s="68">
        <f t="shared" ref="D11:E11" si="1">40*12</f>
        <v>480</v>
      </c>
      <c r="E11" s="68">
        <f t="shared" si="1"/>
        <v>480</v>
      </c>
    </row>
    <row r="12" spans="1:15" ht="33" customHeight="1" x14ac:dyDescent="0.2">
      <c r="A12" s="63" t="s">
        <v>172</v>
      </c>
      <c r="B12" s="98" t="s">
        <v>171</v>
      </c>
      <c r="C12" s="68">
        <v>5000</v>
      </c>
      <c r="D12" s="68">
        <v>5000</v>
      </c>
      <c r="E12" s="68">
        <v>5000</v>
      </c>
    </row>
    <row r="13" spans="1:15" ht="15" customHeight="1" x14ac:dyDescent="0.2">
      <c r="A13" s="62" t="s">
        <v>101</v>
      </c>
      <c r="B13" s="98" t="s">
        <v>81</v>
      </c>
      <c r="C13" s="68">
        <f>C61</f>
        <v>6825</v>
      </c>
      <c r="D13" s="68">
        <f>D61</f>
        <v>7336.875</v>
      </c>
      <c r="E13" s="68">
        <f>E61</f>
        <v>8070.5625000000009</v>
      </c>
      <c r="G13" t="s">
        <v>180</v>
      </c>
    </row>
    <row r="14" spans="1:15" ht="16.25" customHeight="1" x14ac:dyDescent="0.2">
      <c r="A14" s="62"/>
      <c r="B14" s="98" t="s">
        <v>181</v>
      </c>
      <c r="C14" s="68">
        <f>C5-C6</f>
        <v>63077.585934399998</v>
      </c>
      <c r="D14" s="68">
        <f t="shared" ref="D14:E14" si="2">D5-D6</f>
        <v>78124.404879479989</v>
      </c>
      <c r="E14" s="68">
        <f t="shared" si="2"/>
        <v>101649.09536742797</v>
      </c>
      <c r="G14">
        <f>C18/C14</f>
        <v>0.51743780632860492</v>
      </c>
    </row>
    <row r="15" spans="1:15" ht="29.25" customHeight="1" x14ac:dyDescent="0.2">
      <c r="A15" s="163" t="s">
        <v>105</v>
      </c>
      <c r="B15" s="97" t="s">
        <v>11</v>
      </c>
      <c r="C15" s="67">
        <f>+SUM(C16:C17)</f>
        <v>30438.858240000001</v>
      </c>
      <c r="D15" s="67">
        <f>+SUM(D16:D17)</f>
        <v>31047.635404800003</v>
      </c>
      <c r="E15" s="67">
        <f>+SUM(E16:E17)</f>
        <v>31668.588112896006</v>
      </c>
    </row>
    <row r="16" spans="1:15" ht="28.5" customHeight="1" x14ac:dyDescent="0.2">
      <c r="A16" s="163"/>
      <c r="B16" s="98" t="s">
        <v>16</v>
      </c>
      <c r="C16" s="68" cm="1">
        <f t="array" ref="C16:E17">C69:E70</f>
        <v>21742.0416</v>
      </c>
      <c r="D16" s="68">
        <v>22176.882432000002</v>
      </c>
      <c r="E16" s="68">
        <v>22620.420080640004</v>
      </c>
    </row>
    <row r="17" spans="1:10" x14ac:dyDescent="0.2">
      <c r="A17" s="163"/>
      <c r="B17" s="98" t="s">
        <v>25</v>
      </c>
      <c r="C17" s="68">
        <v>8696.8166400000009</v>
      </c>
      <c r="D17" s="68">
        <v>8870.7529728000009</v>
      </c>
      <c r="E17" s="68">
        <v>9048.1680322560023</v>
      </c>
    </row>
    <row r="18" spans="1:10" x14ac:dyDescent="0.2">
      <c r="B18" s="99" t="s">
        <v>12</v>
      </c>
      <c r="C18" s="60">
        <f>C5-C6-C15</f>
        <v>32638.727694399997</v>
      </c>
      <c r="D18" s="60">
        <f>D5-D6-D15</f>
        <v>47076.769474679983</v>
      </c>
      <c r="E18" s="60">
        <f>E5-E6-E15</f>
        <v>69980.507254531971</v>
      </c>
    </row>
    <row r="19" spans="1:10" ht="32" x14ac:dyDescent="0.2">
      <c r="A19" s="62" t="s">
        <v>115</v>
      </c>
      <c r="B19" s="100" t="s">
        <v>13</v>
      </c>
      <c r="C19" s="61"/>
      <c r="D19" s="61"/>
      <c r="E19" s="61"/>
    </row>
    <row r="20" spans="1:10" x14ac:dyDescent="0.2">
      <c r="B20" s="100" t="s">
        <v>116</v>
      </c>
      <c r="C20" s="61">
        <f>154+2000+2140</f>
        <v>4294</v>
      </c>
      <c r="D20" s="61">
        <f>154+2000+2140</f>
        <v>4294</v>
      </c>
      <c r="E20" s="61">
        <f>154+2000+2140</f>
        <v>4294</v>
      </c>
    </row>
    <row r="21" spans="1:10" x14ac:dyDescent="0.2">
      <c r="B21" s="99" t="s">
        <v>117</v>
      </c>
      <c r="C21" s="60">
        <f>+C18-SUM(C19:C20)</f>
        <v>28344.727694399997</v>
      </c>
      <c r="D21" s="60">
        <f>+D18-SUM(D19:D20)</f>
        <v>42782.769474679983</v>
      </c>
      <c r="E21" s="60">
        <f>+E18-SUM(E19:E20)</f>
        <v>65686.507254531971</v>
      </c>
    </row>
    <row r="22" spans="1:10" x14ac:dyDescent="0.2">
      <c r="B22" s="100" t="s">
        <v>14</v>
      </c>
      <c r="C22" s="61">
        <f>C21*0.25</f>
        <v>7086.1819235999992</v>
      </c>
      <c r="D22" s="61">
        <f t="shared" ref="D22:E22" si="3">D21*0.25</f>
        <v>10695.692368669996</v>
      </c>
      <c r="E22" s="61">
        <f t="shared" si="3"/>
        <v>16421.626813632993</v>
      </c>
    </row>
    <row r="23" spans="1:10" x14ac:dyDescent="0.2">
      <c r="B23" s="99" t="s">
        <v>15</v>
      </c>
      <c r="C23" s="60">
        <f>+C21-C22</f>
        <v>21258.545770799996</v>
      </c>
      <c r="D23" s="60">
        <f>+D21-D22</f>
        <v>32087.077106009987</v>
      </c>
      <c r="E23" s="60">
        <f>+E21-E22</f>
        <v>49264.880440898982</v>
      </c>
    </row>
    <row r="25" spans="1:10" x14ac:dyDescent="0.2">
      <c r="B25" s="2" t="s">
        <v>5</v>
      </c>
      <c r="C25" s="2" t="s">
        <v>0</v>
      </c>
      <c r="D25" s="2" t="s">
        <v>1</v>
      </c>
      <c r="E25" s="2" t="s">
        <v>2</v>
      </c>
    </row>
    <row r="26" spans="1:10" x14ac:dyDescent="0.2">
      <c r="B26" s="1" t="s">
        <v>68</v>
      </c>
      <c r="C26" s="5">
        <f>27800*10</f>
        <v>278000</v>
      </c>
      <c r="D26" s="5">
        <f>27800*10</f>
        <v>278000</v>
      </c>
      <c r="E26" s="5">
        <f>27800*10</f>
        <v>278000</v>
      </c>
    </row>
    <row r="27" spans="1:10" x14ac:dyDescent="0.2">
      <c r="B27" s="1" t="s">
        <v>69</v>
      </c>
      <c r="C27" s="5">
        <f>C26*0.65</f>
        <v>180700</v>
      </c>
      <c r="D27" s="5">
        <f t="shared" ref="D27:E27" si="4">D26*0.65</f>
        <v>180700</v>
      </c>
      <c r="E27" s="5">
        <f t="shared" si="4"/>
        <v>180700</v>
      </c>
    </row>
    <row r="28" spans="1:10" ht="16" thickBot="1" x14ac:dyDescent="0.25">
      <c r="B28" s="1" t="s">
        <v>42</v>
      </c>
      <c r="C28" s="10">
        <v>0.05</v>
      </c>
      <c r="D28" s="78">
        <v>7.4999999999999997E-2</v>
      </c>
      <c r="E28" s="10">
        <v>0.1</v>
      </c>
    </row>
    <row r="29" spans="1:10" x14ac:dyDescent="0.2">
      <c r="B29" s="8" t="s">
        <v>5</v>
      </c>
      <c r="C29" s="7">
        <f>C27*1.05</f>
        <v>189735</v>
      </c>
      <c r="D29" s="7">
        <f>D27*1.075</f>
        <v>194252.5</v>
      </c>
      <c r="E29" s="7">
        <f>E27*1.1</f>
        <v>198770.00000000003</v>
      </c>
      <c r="G29" s="159" t="s">
        <v>102</v>
      </c>
      <c r="H29" s="160"/>
      <c r="I29" s="161" t="s">
        <v>103</v>
      </c>
      <c r="J29" s="160"/>
    </row>
    <row r="30" spans="1:10" ht="16" thickBot="1" x14ac:dyDescent="0.25">
      <c r="G30" s="28" t="s">
        <v>87</v>
      </c>
      <c r="H30" s="29">
        <v>700</v>
      </c>
      <c r="I30" s="12" t="s">
        <v>88</v>
      </c>
      <c r="J30" s="29">
        <v>33</v>
      </c>
    </row>
    <row r="31" spans="1:10" ht="16" thickBot="1" x14ac:dyDescent="0.25">
      <c r="B31" s="72" t="s">
        <v>56</v>
      </c>
      <c r="C31" s="73"/>
      <c r="D31" s="73"/>
      <c r="E31" s="74"/>
      <c r="G31" s="28" t="s">
        <v>88</v>
      </c>
      <c r="H31" s="29">
        <v>166</v>
      </c>
      <c r="I31" s="34" t="s">
        <v>104</v>
      </c>
      <c r="J31" s="69">
        <v>400</v>
      </c>
    </row>
    <row r="32" spans="1:10" ht="16" thickBot="1" x14ac:dyDescent="0.25">
      <c r="B32" s="28" t="s">
        <v>46</v>
      </c>
      <c r="C32" s="12" t="s">
        <v>60</v>
      </c>
      <c r="D32" s="12" t="s">
        <v>59</v>
      </c>
      <c r="E32" s="29" t="s">
        <v>8</v>
      </c>
      <c r="G32" s="33" t="s">
        <v>89</v>
      </c>
      <c r="H32" s="36">
        <v>2000</v>
      </c>
      <c r="I32" s="12"/>
      <c r="J32" s="84"/>
    </row>
    <row r="33" spans="2:5" x14ac:dyDescent="0.2">
      <c r="B33" s="28" t="s">
        <v>48</v>
      </c>
      <c r="C33">
        <v>151501</v>
      </c>
      <c r="D33" s="30">
        <v>4.9919999999999999E-2</v>
      </c>
      <c r="E33" s="31">
        <f>C33*D33</f>
        <v>7562.9299199999996</v>
      </c>
    </row>
    <row r="34" spans="2:5" x14ac:dyDescent="0.2">
      <c r="B34" s="28" t="s">
        <v>49</v>
      </c>
      <c r="C34">
        <v>116940</v>
      </c>
      <c r="D34" s="30">
        <v>4.9919999999999999E-2</v>
      </c>
      <c r="E34" s="31">
        <f t="shared" ref="E34:E38" si="5">C34*D34</f>
        <v>5837.6448</v>
      </c>
    </row>
    <row r="35" spans="2:5" x14ac:dyDescent="0.2">
      <c r="B35" s="28" t="s">
        <v>47</v>
      </c>
      <c r="C35">
        <v>131255</v>
      </c>
      <c r="D35" s="30">
        <v>4.9919999999999999E-2</v>
      </c>
      <c r="E35" s="31">
        <f t="shared" si="5"/>
        <v>6552.2496000000001</v>
      </c>
    </row>
    <row r="36" spans="2:5" x14ac:dyDescent="0.2">
      <c r="B36" s="28" t="s">
        <v>50</v>
      </c>
      <c r="C36">
        <v>108556</v>
      </c>
      <c r="D36" s="30">
        <v>4.9919999999999999E-2</v>
      </c>
      <c r="E36" s="31">
        <f t="shared" si="5"/>
        <v>5419.1155200000003</v>
      </c>
    </row>
    <row r="37" spans="2:5" x14ac:dyDescent="0.2">
      <c r="B37" s="28" t="s">
        <v>51</v>
      </c>
      <c r="C37">
        <v>101355</v>
      </c>
      <c r="D37" s="30">
        <v>4.9919999999999999E-2</v>
      </c>
      <c r="E37" s="31">
        <f t="shared" si="5"/>
        <v>5059.6415999999999</v>
      </c>
    </row>
    <row r="38" spans="2:5" x14ac:dyDescent="0.2">
      <c r="B38" s="28" t="s">
        <v>52</v>
      </c>
      <c r="C38">
        <v>86489</v>
      </c>
      <c r="D38" s="30">
        <v>4.9919999999999999E-2</v>
      </c>
      <c r="E38" s="31">
        <f t="shared" si="5"/>
        <v>4317.5308800000003</v>
      </c>
    </row>
    <row r="39" spans="2:5" x14ac:dyDescent="0.2">
      <c r="B39" s="28" t="s">
        <v>53</v>
      </c>
      <c r="C39">
        <v>102073</v>
      </c>
      <c r="D39" s="30">
        <v>4.9919999999999999E-2</v>
      </c>
      <c r="E39" s="31">
        <f>C39*D39</f>
        <v>5095.48416</v>
      </c>
    </row>
    <row r="40" spans="2:5" x14ac:dyDescent="0.2">
      <c r="B40" s="28" t="s">
        <v>54</v>
      </c>
      <c r="C40">
        <v>119990</v>
      </c>
      <c r="D40" s="30">
        <v>4.9919999999999999E-2</v>
      </c>
      <c r="E40" s="31">
        <f t="shared" ref="E40:E41" si="6">C40*D40</f>
        <v>5989.9008000000003</v>
      </c>
    </row>
    <row r="41" spans="2:5" x14ac:dyDescent="0.2">
      <c r="B41" s="28" t="s">
        <v>57</v>
      </c>
      <c r="C41">
        <v>130460</v>
      </c>
      <c r="D41" s="30">
        <v>4.9919999999999999E-2</v>
      </c>
      <c r="E41" s="31">
        <f t="shared" si="6"/>
        <v>6512.5631999999996</v>
      </c>
    </row>
    <row r="42" spans="2:5" x14ac:dyDescent="0.2">
      <c r="B42" s="28" t="s">
        <v>55</v>
      </c>
      <c r="C42" s="32">
        <v>131595</v>
      </c>
      <c r="D42" s="30">
        <v>4.9919999999999999E-2</v>
      </c>
      <c r="E42" s="31">
        <f>C42*D42</f>
        <v>6569.2223999999997</v>
      </c>
    </row>
    <row r="43" spans="2:5" ht="16" thickBot="1" x14ac:dyDescent="0.25">
      <c r="B43" s="33" t="s">
        <v>58</v>
      </c>
      <c r="C43" s="34">
        <f>SUM(C33:C42)</f>
        <v>1180214</v>
      </c>
      <c r="D43" s="35">
        <f>D33</f>
        <v>4.9919999999999999E-2</v>
      </c>
      <c r="E43" s="36">
        <f>SUM(E33:E42)</f>
        <v>58916.282879999999</v>
      </c>
    </row>
    <row r="44" spans="2:5" x14ac:dyDescent="0.2">
      <c r="B44" s="39"/>
      <c r="C44" s="40" t="s">
        <v>62</v>
      </c>
      <c r="D44" s="41" t="s">
        <v>63</v>
      </c>
      <c r="E44" s="42" t="s">
        <v>64</v>
      </c>
    </row>
    <row r="45" spans="2:5" ht="16" thickBot="1" x14ac:dyDescent="0.25">
      <c r="B45" s="33" t="s">
        <v>61</v>
      </c>
      <c r="C45" s="37">
        <f>E43*0.65*1.05</f>
        <v>40210.363065600002</v>
      </c>
      <c r="D45" s="37">
        <f>C45*1.075</f>
        <v>43226.140295520003</v>
      </c>
      <c r="E45" s="38">
        <f>D45*1.1</f>
        <v>47548.754325072005</v>
      </c>
    </row>
    <row r="47" spans="2:5" x14ac:dyDescent="0.2">
      <c r="B47" s="52" t="s">
        <v>76</v>
      </c>
      <c r="C47" s="52" t="s">
        <v>0</v>
      </c>
      <c r="D47" s="52" t="s">
        <v>1</v>
      </c>
      <c r="E47" s="52" t="s">
        <v>2</v>
      </c>
    </row>
    <row r="48" spans="2:5" x14ac:dyDescent="0.2">
      <c r="B48" s="1" t="s">
        <v>77</v>
      </c>
      <c r="C48" s="49">
        <f>(136+128)/12*10</f>
        <v>220</v>
      </c>
      <c r="D48" s="49">
        <f>(136+128)/12*10</f>
        <v>220</v>
      </c>
      <c r="E48" s="49">
        <f>(136+128)/12*10</f>
        <v>220</v>
      </c>
    </row>
    <row r="49" spans="2:7" x14ac:dyDescent="0.2">
      <c r="B49" s="1" t="s">
        <v>78</v>
      </c>
      <c r="C49" s="50">
        <v>2.8400000000000001E-3</v>
      </c>
      <c r="D49" s="50">
        <v>2.8400000000000001E-3</v>
      </c>
      <c r="E49" s="50">
        <v>2.8400000000000001E-3</v>
      </c>
    </row>
    <row r="50" spans="2:7" x14ac:dyDescent="0.2">
      <c r="B50" s="1" t="s">
        <v>42</v>
      </c>
      <c r="C50" s="51">
        <v>0.05</v>
      </c>
      <c r="D50" s="51">
        <v>7.4999999999999997E-2</v>
      </c>
      <c r="E50" s="51">
        <v>0.1</v>
      </c>
    </row>
    <row r="51" spans="2:7" x14ac:dyDescent="0.2">
      <c r="B51" s="1" t="s">
        <v>79</v>
      </c>
      <c r="C51" s="57">
        <f>C48*1000*C49</f>
        <v>624.80000000000007</v>
      </c>
      <c r="D51" s="57">
        <f t="shared" ref="D51:E51" si="7">D48*1000*D49</f>
        <v>624.80000000000007</v>
      </c>
      <c r="E51" s="57">
        <f t="shared" si="7"/>
        <v>624.80000000000007</v>
      </c>
    </row>
    <row r="52" spans="2:7" x14ac:dyDescent="0.2">
      <c r="B52" s="1" t="s">
        <v>80</v>
      </c>
      <c r="C52" s="57">
        <f>C51*0.65</f>
        <v>406.12000000000006</v>
      </c>
      <c r="D52" s="57">
        <f t="shared" ref="D52" si="8">D51*0.65</f>
        <v>406.12000000000006</v>
      </c>
      <c r="E52" s="57">
        <f>E51*0.65</f>
        <v>406.12000000000006</v>
      </c>
    </row>
    <row r="53" spans="2:7" x14ac:dyDescent="0.2">
      <c r="B53" s="52" t="s">
        <v>80</v>
      </c>
      <c r="C53" s="58">
        <f>C52*1.05</f>
        <v>426.4260000000001</v>
      </c>
      <c r="D53" s="58">
        <f>C53*1.075</f>
        <v>458.40795000000008</v>
      </c>
      <c r="E53" s="58">
        <f>D53*1.1</f>
        <v>504.24874500000016</v>
      </c>
    </row>
    <row r="55" spans="2:7" x14ac:dyDescent="0.2">
      <c r="B55" s="52" t="s">
        <v>82</v>
      </c>
      <c r="C55" s="52" t="s">
        <v>0</v>
      </c>
      <c r="D55" s="52" t="s">
        <v>1</v>
      </c>
      <c r="E55" s="52" t="s">
        <v>2</v>
      </c>
    </row>
    <row r="56" spans="2:7" x14ac:dyDescent="0.2">
      <c r="B56" s="1" t="s">
        <v>83</v>
      </c>
      <c r="C56" s="54">
        <f>3+22+31+23+20+16+10</f>
        <v>125</v>
      </c>
      <c r="D56" s="54">
        <f t="shared" ref="D56:E56" si="9">3+22+31+23+20+16+10</f>
        <v>125</v>
      </c>
      <c r="E56" s="54">
        <f t="shared" si="9"/>
        <v>125</v>
      </c>
    </row>
    <row r="57" spans="2:7" x14ac:dyDescent="0.2">
      <c r="B57" s="1" t="s">
        <v>84</v>
      </c>
      <c r="C57" s="55">
        <v>80</v>
      </c>
      <c r="D57" s="55">
        <v>80</v>
      </c>
      <c r="E57" s="55">
        <v>80</v>
      </c>
    </row>
    <row r="58" spans="2:7" x14ac:dyDescent="0.2">
      <c r="B58" s="1" t="s">
        <v>42</v>
      </c>
      <c r="C58" s="51">
        <v>0.05</v>
      </c>
      <c r="D58" s="51">
        <v>7.4999999999999997E-2</v>
      </c>
      <c r="E58" s="51">
        <v>0.1</v>
      </c>
    </row>
    <row r="59" spans="2:7" x14ac:dyDescent="0.2">
      <c r="B59" s="1" t="s">
        <v>79</v>
      </c>
      <c r="C59" s="56">
        <f>C56*C57</f>
        <v>10000</v>
      </c>
      <c r="D59" s="56">
        <f t="shared" ref="D59:E59" si="10">D56*D57</f>
        <v>10000</v>
      </c>
      <c r="E59" s="56">
        <f t="shared" si="10"/>
        <v>10000</v>
      </c>
    </row>
    <row r="60" spans="2:7" x14ac:dyDescent="0.2">
      <c r="B60" s="1" t="s">
        <v>80</v>
      </c>
      <c r="C60" s="56">
        <f>C59*0.65</f>
        <v>6500</v>
      </c>
      <c r="D60" s="56">
        <f t="shared" ref="D60:E60" si="11">D59*0.65</f>
        <v>6500</v>
      </c>
      <c r="E60" s="56">
        <f t="shared" si="11"/>
        <v>6500</v>
      </c>
    </row>
    <row r="61" spans="2:7" x14ac:dyDescent="0.2">
      <c r="B61" s="52" t="s">
        <v>80</v>
      </c>
      <c r="C61" s="59">
        <f>C60*1.05</f>
        <v>6825</v>
      </c>
      <c r="D61" s="59">
        <f>C61*1.075</f>
        <v>7336.875</v>
      </c>
      <c r="E61" s="59">
        <f>D61*1.1</f>
        <v>8070.5625000000009</v>
      </c>
      <c r="G61" s="2" t="s">
        <v>17</v>
      </c>
    </row>
    <row r="62" spans="2:7" x14ac:dyDescent="0.2">
      <c r="C62" s="25"/>
      <c r="D62" s="25"/>
      <c r="E62" s="25"/>
      <c r="G62" s="11">
        <v>0.02</v>
      </c>
    </row>
    <row r="63" spans="2:7" x14ac:dyDescent="0.2">
      <c r="B63" s="2" t="s">
        <v>16</v>
      </c>
      <c r="C63" s="2" t="s">
        <v>0</v>
      </c>
      <c r="D63" s="2" t="s">
        <v>1</v>
      </c>
      <c r="E63" s="2" t="s">
        <v>2</v>
      </c>
      <c r="G63" s="2" t="s">
        <v>44</v>
      </c>
    </row>
    <row r="64" spans="2:7" x14ac:dyDescent="0.2">
      <c r="B64" s="1" t="s">
        <v>18</v>
      </c>
      <c r="C64" s="1">
        <v>12</v>
      </c>
      <c r="D64" s="1">
        <v>12</v>
      </c>
      <c r="E64" s="1">
        <v>12</v>
      </c>
      <c r="G64" s="4">
        <v>1709.28</v>
      </c>
    </row>
    <row r="65" spans="2:7" x14ac:dyDescent="0.2">
      <c r="B65" s="1" t="s">
        <v>22</v>
      </c>
      <c r="C65" s="1">
        <v>1</v>
      </c>
      <c r="D65" s="1">
        <v>1</v>
      </c>
      <c r="E65" s="1">
        <v>1</v>
      </c>
      <c r="G65" s="26" t="s">
        <v>45</v>
      </c>
    </row>
    <row r="66" spans="2:7" x14ac:dyDescent="0.2">
      <c r="B66" s="1" t="s">
        <v>20</v>
      </c>
      <c r="C66" s="5">
        <f>C65*$G$66</f>
        <v>1811.8368</v>
      </c>
      <c r="D66" s="5">
        <f>C66*1.02</f>
        <v>1848.0735360000001</v>
      </c>
      <c r="E66" s="5">
        <f>D66*1.02</f>
        <v>1885.0350067200002</v>
      </c>
      <c r="G66" s="27">
        <f>G64*1.06</f>
        <v>1811.8368</v>
      </c>
    </row>
    <row r="67" spans="2:7" x14ac:dyDescent="0.2">
      <c r="B67" s="1" t="s">
        <v>21</v>
      </c>
      <c r="C67" s="5">
        <f>C64*C66</f>
        <v>21742.0416</v>
      </c>
      <c r="D67" s="5">
        <f>D64*D66</f>
        <v>22176.882432000002</v>
      </c>
      <c r="E67" s="5">
        <f>E64*E66</f>
        <v>22620.420080640004</v>
      </c>
    </row>
    <row r="68" spans="2:7" x14ac:dyDescent="0.2">
      <c r="B68" s="1" t="s">
        <v>19</v>
      </c>
      <c r="C68" s="5">
        <f>C67*0.4</f>
        <v>8696.8166400000009</v>
      </c>
      <c r="D68" s="5">
        <f>D67*0.4</f>
        <v>8870.7529728000009</v>
      </c>
      <c r="E68" s="5">
        <f>E67*0.4</f>
        <v>9048.1680322560023</v>
      </c>
    </row>
    <row r="69" spans="2:7" x14ac:dyDescent="0.2">
      <c r="B69" s="8" t="s">
        <v>23</v>
      </c>
      <c r="C69" s="7">
        <f>C67</f>
        <v>21742.0416</v>
      </c>
      <c r="D69" s="7">
        <f>D67</f>
        <v>22176.882432000002</v>
      </c>
      <c r="E69" s="7">
        <f t="shared" ref="E69" si="12">E67</f>
        <v>22620.420080640004</v>
      </c>
    </row>
    <row r="70" spans="2:7" x14ac:dyDescent="0.2">
      <c r="B70" s="8" t="s">
        <v>24</v>
      </c>
      <c r="C70" s="7">
        <f>C68</f>
        <v>8696.8166400000009</v>
      </c>
      <c r="D70" s="7">
        <f t="shared" ref="D70:E70" si="13">D68</f>
        <v>8870.7529728000009</v>
      </c>
      <c r="E70" s="7">
        <f t="shared" si="13"/>
        <v>9048.1680322560023</v>
      </c>
    </row>
    <row r="71" spans="2:7" x14ac:dyDescent="0.2">
      <c r="B71" s="8" t="s">
        <v>170</v>
      </c>
      <c r="C71" s="148">
        <f>C66-(C66*0.28)</f>
        <v>1304.522496</v>
      </c>
      <c r="D71" s="148">
        <f>D66-(D66*0.28)</f>
        <v>1330.6129459200001</v>
      </c>
      <c r="E71" s="148">
        <f t="shared" ref="E71" si="14">E66-(E66*0.28)</f>
        <v>1357.2252048384</v>
      </c>
    </row>
    <row r="95" spans="6:6" x14ac:dyDescent="0.2">
      <c r="F95" s="57"/>
    </row>
  </sheetData>
  <mergeCells count="5">
    <mergeCell ref="A1:E1"/>
    <mergeCell ref="G29:H29"/>
    <mergeCell ref="I29:J29"/>
    <mergeCell ref="A5:A6"/>
    <mergeCell ref="A15:A1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5226-39AA-4891-ABE0-60D6291B1472}">
  <dimension ref="A2:E15"/>
  <sheetViews>
    <sheetView workbookViewId="0">
      <selection activeCell="E13" sqref="E13"/>
    </sheetView>
  </sheetViews>
  <sheetFormatPr baseColWidth="10" defaultRowHeight="15" x14ac:dyDescent="0.2"/>
  <cols>
    <col min="1" max="2" width="22.83203125" customWidth="1"/>
  </cols>
  <sheetData>
    <row r="2" spans="1:5" x14ac:dyDescent="0.2">
      <c r="A2" t="s">
        <v>92</v>
      </c>
      <c r="B2" s="156">
        <f>'Compte de résultat'!C3</f>
        <v>308319.375</v>
      </c>
    </row>
    <row r="3" spans="1:5" x14ac:dyDescent="0.2">
      <c r="A3" t="s">
        <v>186</v>
      </c>
      <c r="B3" s="156">
        <f>'Compte de résultat'!C4+'Compte de résultat'!C7+'Compte de résultat'!C10+'Seuil de rentabilité'!C13</f>
        <v>230371.78906559999</v>
      </c>
    </row>
    <row r="4" spans="1:5" x14ac:dyDescent="0.2">
      <c r="A4" t="s">
        <v>183</v>
      </c>
      <c r="B4" s="156">
        <f>B2-B3</f>
        <v>77947.585934400005</v>
      </c>
    </row>
    <row r="5" spans="1:5" x14ac:dyDescent="0.2">
      <c r="A5" t="s">
        <v>184</v>
      </c>
      <c r="B5" s="157">
        <f>B4/B2</f>
        <v>0.2528144263862756</v>
      </c>
    </row>
    <row r="6" spans="1:5" x14ac:dyDescent="0.2">
      <c r="A6" t="s">
        <v>187</v>
      </c>
      <c r="B6" s="156">
        <f>'Compte de résultat'!C8+'Compte de résultat'!C9+'Compte de résultat'!C11+'Compte de résultat'!C12+'Compte de résultat'!C16+'Compte de résultat'!C17</f>
        <v>38483.858240000001</v>
      </c>
    </row>
    <row r="7" spans="1:5" x14ac:dyDescent="0.2">
      <c r="A7" t="s">
        <v>185</v>
      </c>
      <c r="B7" s="156">
        <f>B6/B5</f>
        <v>152221.76515038128</v>
      </c>
    </row>
    <row r="9" spans="1:5" x14ac:dyDescent="0.2">
      <c r="A9" s="164" t="s">
        <v>188</v>
      </c>
      <c r="B9" s="164"/>
    </row>
    <row r="10" spans="1:5" x14ac:dyDescent="0.2">
      <c r="A10" s="164"/>
      <c r="B10" s="164"/>
    </row>
    <row r="12" spans="1:5" x14ac:dyDescent="0.2">
      <c r="A12" t="s">
        <v>189</v>
      </c>
      <c r="B12">
        <f>(B7/B2)*360</f>
        <v>177.73724228046734</v>
      </c>
      <c r="D12" t="s">
        <v>191</v>
      </c>
      <c r="E12" t="s">
        <v>192</v>
      </c>
    </row>
    <row r="14" spans="1:5" x14ac:dyDescent="0.2">
      <c r="A14" s="165" t="s">
        <v>190</v>
      </c>
      <c r="B14" s="165"/>
    </row>
    <row r="15" spans="1:5" x14ac:dyDescent="0.2">
      <c r="A15" s="165"/>
      <c r="B15" s="165"/>
    </row>
  </sheetData>
  <mergeCells count="2">
    <mergeCell ref="A9:B10"/>
    <mergeCell ref="A14:B15"/>
  </mergeCells>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3ED06-FF89-4AF1-A8E8-B9601FCA0BD8}">
  <dimension ref="A1:O95"/>
  <sheetViews>
    <sheetView zoomScale="80" zoomScaleNormal="80" workbookViewId="0">
      <selection activeCell="E4" sqref="E4"/>
    </sheetView>
  </sheetViews>
  <sheetFormatPr baseColWidth="10" defaultRowHeight="15" x14ac:dyDescent="0.2"/>
  <cols>
    <col min="1" max="1" width="63.1640625" customWidth="1"/>
    <col min="2" max="2" width="32.1640625" bestFit="1" customWidth="1"/>
    <col min="3" max="3" width="17.1640625" customWidth="1"/>
    <col min="4" max="5" width="17.1640625" bestFit="1" customWidth="1"/>
    <col min="6" max="6" width="19.83203125" customWidth="1"/>
    <col min="7" max="7" width="31.83203125" customWidth="1"/>
    <col min="8" max="10" width="16.1640625" bestFit="1" customWidth="1"/>
    <col min="11" max="11" width="13.1640625" bestFit="1" customWidth="1"/>
    <col min="12" max="12" width="36.83203125" customWidth="1"/>
    <col min="13" max="13" width="14.5" customWidth="1"/>
    <col min="14" max="14" width="14.1640625" customWidth="1"/>
    <col min="15" max="15" width="26.33203125" customWidth="1"/>
    <col min="16" max="17" width="17.83203125" customWidth="1"/>
    <col min="18" max="18" width="19.83203125" customWidth="1"/>
  </cols>
  <sheetData>
    <row r="1" spans="1:15" ht="24" x14ac:dyDescent="0.3">
      <c r="A1" s="158" t="s">
        <v>175</v>
      </c>
      <c r="B1" s="158"/>
      <c r="C1" s="158"/>
      <c r="D1" s="158"/>
      <c r="E1" s="158"/>
      <c r="G1" s="103" t="s">
        <v>4</v>
      </c>
      <c r="H1" s="103" t="s">
        <v>0</v>
      </c>
      <c r="I1" s="103" t="s">
        <v>1</v>
      </c>
      <c r="J1" s="103" t="s">
        <v>2</v>
      </c>
      <c r="L1" s="43"/>
      <c r="M1" s="44" t="s">
        <v>37</v>
      </c>
      <c r="N1" s="44" t="s">
        <v>1</v>
      </c>
      <c r="O1" s="45" t="s">
        <v>94</v>
      </c>
    </row>
    <row r="2" spans="1:15" ht="16" x14ac:dyDescent="0.2">
      <c r="A2" s="77" t="s">
        <v>86</v>
      </c>
      <c r="B2" s="76" t="s">
        <v>41</v>
      </c>
      <c r="C2" s="76" t="s">
        <v>0</v>
      </c>
      <c r="D2" s="76" t="s">
        <v>1</v>
      </c>
      <c r="E2" s="76" t="s">
        <v>2</v>
      </c>
      <c r="G2" s="104" t="s">
        <v>65</v>
      </c>
      <c r="H2" s="105">
        <f>$M2*10</f>
        <v>451750</v>
      </c>
      <c r="I2" s="105">
        <f>$M2*10</f>
        <v>451750</v>
      </c>
      <c r="J2" s="105">
        <f>$M2*10</f>
        <v>451750</v>
      </c>
      <c r="L2" s="46" t="s">
        <v>93</v>
      </c>
      <c r="M2" s="47">
        <f>45175</f>
        <v>45175</v>
      </c>
      <c r="N2" s="47">
        <f>45175</f>
        <v>45175</v>
      </c>
      <c r="O2" s="48">
        <f>45175</f>
        <v>45175</v>
      </c>
    </row>
    <row r="3" spans="1:15" ht="95.5" customHeight="1" thickBot="1" x14ac:dyDescent="0.25">
      <c r="A3" s="82" t="s">
        <v>176</v>
      </c>
      <c r="B3" s="94" t="s">
        <v>92</v>
      </c>
      <c r="C3" s="64" cm="1">
        <f t="array" ref="C3:E3">+H4:J4</f>
        <v>293637.5</v>
      </c>
      <c r="D3" s="64">
        <v>293637.5</v>
      </c>
      <c r="E3" s="64">
        <v>293637.5</v>
      </c>
      <c r="G3" s="104" t="s">
        <v>66</v>
      </c>
      <c r="H3" s="105">
        <f>H2*0.65</f>
        <v>293637.5</v>
      </c>
      <c r="I3" s="105">
        <f>I2*0.65</f>
        <v>293637.5</v>
      </c>
      <c r="J3" s="105">
        <f t="shared" ref="J3" si="0">J2*0.65</f>
        <v>293637.5</v>
      </c>
      <c r="L3" s="79" t="s">
        <v>95</v>
      </c>
      <c r="M3" s="80">
        <f>(M2*0.65)*1.05</f>
        <v>30831.9375</v>
      </c>
      <c r="N3" s="81">
        <f>M3*1.075</f>
        <v>33144.332812499997</v>
      </c>
      <c r="O3" s="81">
        <f>N3*1.1</f>
        <v>36458.766093749997</v>
      </c>
    </row>
    <row r="4" spans="1:15" s="62" customFormat="1" ht="72" customHeight="1" x14ac:dyDescent="0.2">
      <c r="A4" s="82" t="s">
        <v>177</v>
      </c>
      <c r="B4" s="95" t="s">
        <v>5</v>
      </c>
      <c r="C4" s="65">
        <f>C26</f>
        <v>180700</v>
      </c>
      <c r="D4" s="65">
        <f t="shared" ref="D4:E4" si="1">D26</f>
        <v>180700</v>
      </c>
      <c r="E4" s="65">
        <f t="shared" si="1"/>
        <v>180700</v>
      </c>
      <c r="G4" s="108" t="s">
        <v>3</v>
      </c>
      <c r="H4" s="109">
        <f>H3</f>
        <v>293637.5</v>
      </c>
      <c r="I4" s="109">
        <f>I3</f>
        <v>293637.5</v>
      </c>
      <c r="J4" s="109">
        <f>J3</f>
        <v>293637.5</v>
      </c>
    </row>
    <row r="5" spans="1:15" x14ac:dyDescent="0.2">
      <c r="A5" s="162"/>
      <c r="B5" s="96" t="s">
        <v>9</v>
      </c>
      <c r="C5" s="66">
        <f>C3-C4</f>
        <v>112937.5</v>
      </c>
      <c r="D5" s="66">
        <f>D3-D4</f>
        <v>112937.5</v>
      </c>
      <c r="E5" s="66">
        <f>E3-E4</f>
        <v>112937.5</v>
      </c>
    </row>
    <row r="6" spans="1:15" ht="14.25" customHeight="1" x14ac:dyDescent="0.2">
      <c r="A6" s="162"/>
      <c r="B6" s="97" t="s">
        <v>6</v>
      </c>
      <c r="C6" s="67">
        <f>SUM(C7:C13)</f>
        <v>53246.703872000006</v>
      </c>
      <c r="D6" s="67">
        <f>SUM(D7:D13)</f>
        <v>53246.703872000006</v>
      </c>
      <c r="E6" s="67">
        <f>SUM(E7:E13)</f>
        <v>53246.703872000006</v>
      </c>
    </row>
    <row r="7" spans="1:15" ht="81.75" customHeight="1" x14ac:dyDescent="0.2">
      <c r="A7" s="83" t="s">
        <v>97</v>
      </c>
      <c r="B7" s="98" t="s">
        <v>7</v>
      </c>
      <c r="C7" s="68">
        <f>E42*0.65</f>
        <v>38295.583872000003</v>
      </c>
      <c r="D7" s="68">
        <f>C7</f>
        <v>38295.583872000003</v>
      </c>
      <c r="E7" s="68">
        <f>D7</f>
        <v>38295.583872000003</v>
      </c>
    </row>
    <row r="8" spans="1:15" ht="38.25" customHeight="1" x14ac:dyDescent="0.2">
      <c r="A8" s="82" t="s">
        <v>98</v>
      </c>
      <c r="B8" s="98" t="s">
        <v>74</v>
      </c>
      <c r="C8" s="68">
        <f>150+15</f>
        <v>165</v>
      </c>
      <c r="D8" s="68">
        <f>150+15</f>
        <v>165</v>
      </c>
      <c r="E8" s="68">
        <f>150+15</f>
        <v>165</v>
      </c>
      <c r="F8" s="53"/>
    </row>
    <row r="9" spans="1:15" ht="102" customHeight="1" x14ac:dyDescent="0.2">
      <c r="A9" s="63" t="s">
        <v>99</v>
      </c>
      <c r="B9" s="98" t="s">
        <v>10</v>
      </c>
      <c r="C9" s="68">
        <f>2400</f>
        <v>2400</v>
      </c>
      <c r="D9" s="68">
        <f>C9</f>
        <v>2400</v>
      </c>
      <c r="E9" s="68">
        <f>D9</f>
        <v>2400</v>
      </c>
    </row>
    <row r="10" spans="1:15" ht="45.75" customHeight="1" x14ac:dyDescent="0.2">
      <c r="A10" s="62" t="s">
        <v>100</v>
      </c>
      <c r="B10" s="98" t="s">
        <v>75</v>
      </c>
      <c r="C10" s="75">
        <f>C51</f>
        <v>406.12000000000006</v>
      </c>
      <c r="D10" s="75">
        <f t="shared" ref="D10:E10" si="2">D51</f>
        <v>406.12000000000006</v>
      </c>
      <c r="E10" s="75">
        <f t="shared" si="2"/>
        <v>406.12000000000006</v>
      </c>
    </row>
    <row r="11" spans="1:15" ht="42.5" customHeight="1" x14ac:dyDescent="0.2">
      <c r="A11" s="63" t="s">
        <v>173</v>
      </c>
      <c r="B11" s="98" t="s">
        <v>73</v>
      </c>
      <c r="C11" s="68">
        <f>40*12</f>
        <v>480</v>
      </c>
      <c r="D11" s="68">
        <f t="shared" ref="D11:E11" si="3">40*12</f>
        <v>480</v>
      </c>
      <c r="E11" s="68">
        <f t="shared" si="3"/>
        <v>480</v>
      </c>
    </row>
    <row r="12" spans="1:15" ht="33" customHeight="1" x14ac:dyDescent="0.2">
      <c r="A12" s="63" t="s">
        <v>172</v>
      </c>
      <c r="B12" s="98" t="s">
        <v>171</v>
      </c>
      <c r="C12" s="68">
        <v>5000</v>
      </c>
      <c r="D12" s="68">
        <v>5000</v>
      </c>
      <c r="E12" s="68">
        <v>5000</v>
      </c>
    </row>
    <row r="13" spans="1:15" ht="15" customHeight="1" x14ac:dyDescent="0.2">
      <c r="A13" s="62" t="s">
        <v>101</v>
      </c>
      <c r="B13" s="98" t="s">
        <v>81</v>
      </c>
      <c r="C13" s="68">
        <f>C58</f>
        <v>6500</v>
      </c>
      <c r="D13" s="68">
        <f t="shared" ref="D13:E13" si="4">D58</f>
        <v>6500</v>
      </c>
      <c r="E13" s="68">
        <f t="shared" si="4"/>
        <v>6500</v>
      </c>
    </row>
    <row r="14" spans="1:15" ht="30" customHeight="1" x14ac:dyDescent="0.2">
      <c r="A14" s="163" t="s">
        <v>105</v>
      </c>
      <c r="B14" s="97" t="s">
        <v>11</v>
      </c>
      <c r="C14" s="67">
        <f>+SUM(C15:C16)</f>
        <v>30438.858240000001</v>
      </c>
      <c r="D14" s="67">
        <f>+SUM(D15:D16)</f>
        <v>31047.635404800003</v>
      </c>
      <c r="E14" s="67">
        <f>+SUM(E15:E16)</f>
        <v>31668.588112896006</v>
      </c>
    </row>
    <row r="15" spans="1:15" ht="29.25" customHeight="1" x14ac:dyDescent="0.2">
      <c r="A15" s="163"/>
      <c r="B15" s="98" t="s">
        <v>16</v>
      </c>
      <c r="C15" s="68" cm="1">
        <f t="array" ref="C15:E16">C66:E67</f>
        <v>21742.0416</v>
      </c>
      <c r="D15" s="68">
        <v>22176.882432000002</v>
      </c>
      <c r="E15" s="68">
        <v>22620.420080640004</v>
      </c>
    </row>
    <row r="16" spans="1:15" ht="28.5" customHeight="1" x14ac:dyDescent="0.2">
      <c r="A16" s="163"/>
      <c r="B16" s="98" t="s">
        <v>25</v>
      </c>
      <c r="C16" s="68">
        <v>8696.8166400000009</v>
      </c>
      <c r="D16" s="68">
        <v>8870.7529728000009</v>
      </c>
      <c r="E16" s="68">
        <v>9048.1680322560023</v>
      </c>
    </row>
    <row r="17" spans="1:9" x14ac:dyDescent="0.2">
      <c r="B17" s="99" t="s">
        <v>12</v>
      </c>
      <c r="C17" s="60">
        <f>C5-C6-C14</f>
        <v>29251.937887999993</v>
      </c>
      <c r="D17" s="60">
        <f>D5-D6-D14</f>
        <v>28643.160723199991</v>
      </c>
      <c r="E17" s="60">
        <f>E5-E6-E14</f>
        <v>28022.208015103988</v>
      </c>
    </row>
    <row r="18" spans="1:9" ht="32" x14ac:dyDescent="0.2">
      <c r="A18" s="62" t="s">
        <v>115</v>
      </c>
      <c r="B18" s="100" t="s">
        <v>13</v>
      </c>
      <c r="C18" s="61"/>
      <c r="D18" s="61"/>
      <c r="E18" s="61"/>
    </row>
    <row r="19" spans="1:9" x14ac:dyDescent="0.2">
      <c r="B19" s="100" t="s">
        <v>116</v>
      </c>
      <c r="C19" s="61">
        <f>154+2000+2140</f>
        <v>4294</v>
      </c>
      <c r="D19" s="61">
        <f>154+2000+2140</f>
        <v>4294</v>
      </c>
      <c r="E19" s="61">
        <f>154+2000+2140</f>
        <v>4294</v>
      </c>
    </row>
    <row r="20" spans="1:9" x14ac:dyDescent="0.2">
      <c r="B20" s="99" t="s">
        <v>117</v>
      </c>
      <c r="C20" s="60">
        <f>+C17-SUM(C18:C19)</f>
        <v>24957.937887999993</v>
      </c>
      <c r="D20" s="60">
        <f>+D17-SUM(D18:D19)</f>
        <v>24349.160723199991</v>
      </c>
      <c r="E20" s="60">
        <f>+E17-SUM(E18:E19)</f>
        <v>23728.208015103988</v>
      </c>
    </row>
    <row r="21" spans="1:9" x14ac:dyDescent="0.2">
      <c r="B21" s="100" t="s">
        <v>14</v>
      </c>
      <c r="C21" s="61">
        <f>C20*0.25</f>
        <v>6239.4844719999983</v>
      </c>
      <c r="D21" s="61">
        <f t="shared" ref="D21:E21" si="5">D20*0.25</f>
        <v>6087.2901807999979</v>
      </c>
      <c r="E21" s="61">
        <f t="shared" si="5"/>
        <v>5932.052003775997</v>
      </c>
    </row>
    <row r="22" spans="1:9" ht="16" thickBot="1" x14ac:dyDescent="0.25">
      <c r="B22" s="99" t="s">
        <v>15</v>
      </c>
      <c r="C22" s="60">
        <f>+C20-C21</f>
        <v>18718.453415999997</v>
      </c>
      <c r="D22" s="60">
        <f>+D20-D21</f>
        <v>18261.870542399993</v>
      </c>
      <c r="E22" s="60">
        <f>+E20-E21</f>
        <v>17796.156011327992</v>
      </c>
    </row>
    <row r="23" spans="1:9" x14ac:dyDescent="0.2">
      <c r="G23" s="159" t="s">
        <v>103</v>
      </c>
      <c r="H23" s="160"/>
    </row>
    <row r="24" spans="1:9" x14ac:dyDescent="0.2">
      <c r="B24" s="2" t="s">
        <v>5</v>
      </c>
      <c r="C24" s="2" t="s">
        <v>0</v>
      </c>
      <c r="D24" s="2" t="s">
        <v>1</v>
      </c>
      <c r="E24" s="2" t="s">
        <v>2</v>
      </c>
      <c r="G24" s="28" t="s">
        <v>88</v>
      </c>
      <c r="H24" s="29">
        <v>33</v>
      </c>
    </row>
    <row r="25" spans="1:9" ht="16" thickBot="1" x14ac:dyDescent="0.25">
      <c r="B25" s="1" t="s">
        <v>68</v>
      </c>
      <c r="C25" s="5">
        <f>27800*10</f>
        <v>278000</v>
      </c>
      <c r="D25" s="5">
        <f>27800*10</f>
        <v>278000</v>
      </c>
      <c r="E25" s="5">
        <f>27800*10</f>
        <v>278000</v>
      </c>
      <c r="G25" s="33" t="s">
        <v>104</v>
      </c>
      <c r="H25" s="69">
        <v>400</v>
      </c>
    </row>
    <row r="26" spans="1:9" x14ac:dyDescent="0.2">
      <c r="B26" s="1" t="s">
        <v>69</v>
      </c>
      <c r="C26" s="5">
        <f>C25*0.65</f>
        <v>180700</v>
      </c>
      <c r="D26" s="5">
        <f t="shared" ref="D26:E26" si="6">D25*0.65</f>
        <v>180700</v>
      </c>
      <c r="E26" s="5">
        <f t="shared" si="6"/>
        <v>180700</v>
      </c>
    </row>
    <row r="27" spans="1:9" ht="16" thickBot="1" x14ac:dyDescent="0.25">
      <c r="B27" s="1" t="s">
        <v>42</v>
      </c>
      <c r="C27" s="10">
        <v>0.05</v>
      </c>
      <c r="D27" s="78">
        <v>7.4999999999999997E-2</v>
      </c>
      <c r="E27" s="10">
        <v>0.1</v>
      </c>
    </row>
    <row r="28" spans="1:9" x14ac:dyDescent="0.2">
      <c r="B28" s="8" t="s">
        <v>5</v>
      </c>
      <c r="C28" s="7">
        <f>C26*1.05</f>
        <v>189735</v>
      </c>
      <c r="D28" s="7">
        <f>D26*1.075</f>
        <v>194252.5</v>
      </c>
      <c r="E28" s="7">
        <f>E26*1.1</f>
        <v>198770.00000000003</v>
      </c>
      <c r="G28" s="70" t="s">
        <v>102</v>
      </c>
      <c r="H28" s="71"/>
      <c r="I28" s="12"/>
    </row>
    <row r="29" spans="1:9" ht="16" thickBot="1" x14ac:dyDescent="0.25">
      <c r="G29" s="28" t="s">
        <v>87</v>
      </c>
      <c r="H29" s="29">
        <v>700</v>
      </c>
    </row>
    <row r="30" spans="1:9" x14ac:dyDescent="0.2">
      <c r="B30" s="72" t="s">
        <v>56</v>
      </c>
      <c r="C30" s="73"/>
      <c r="D30" s="73"/>
      <c r="E30" s="74"/>
      <c r="G30" s="28" t="s">
        <v>88</v>
      </c>
      <c r="H30" s="29">
        <v>166</v>
      </c>
    </row>
    <row r="31" spans="1:9" ht="16" thickBot="1" x14ac:dyDescent="0.25">
      <c r="B31" s="28" t="s">
        <v>46</v>
      </c>
      <c r="C31" s="12" t="s">
        <v>60</v>
      </c>
      <c r="D31" s="12" t="s">
        <v>59</v>
      </c>
      <c r="E31" s="29" t="s">
        <v>8</v>
      </c>
      <c r="G31" s="33" t="s">
        <v>89</v>
      </c>
      <c r="H31" s="36">
        <v>2000</v>
      </c>
    </row>
    <row r="32" spans="1:9" x14ac:dyDescent="0.2">
      <c r="B32" s="28" t="s">
        <v>48</v>
      </c>
      <c r="C32">
        <v>151501</v>
      </c>
      <c r="D32" s="30">
        <v>4.9919999999999999E-2</v>
      </c>
      <c r="E32" s="31">
        <f>C32*D32</f>
        <v>7562.9299199999996</v>
      </c>
    </row>
    <row r="33" spans="2:5" x14ac:dyDescent="0.2">
      <c r="B33" s="28" t="s">
        <v>49</v>
      </c>
      <c r="C33">
        <v>116940</v>
      </c>
      <c r="D33" s="30">
        <v>4.9919999999999999E-2</v>
      </c>
      <c r="E33" s="31">
        <f t="shared" ref="E33:E37" si="7">C33*D33</f>
        <v>5837.6448</v>
      </c>
    </row>
    <row r="34" spans="2:5" x14ac:dyDescent="0.2">
      <c r="B34" s="28" t="s">
        <v>47</v>
      </c>
      <c r="C34">
        <v>131255</v>
      </c>
      <c r="D34" s="30">
        <v>4.9919999999999999E-2</v>
      </c>
      <c r="E34" s="31">
        <f t="shared" si="7"/>
        <v>6552.2496000000001</v>
      </c>
    </row>
    <row r="35" spans="2:5" x14ac:dyDescent="0.2">
      <c r="B35" s="28" t="s">
        <v>50</v>
      </c>
      <c r="C35">
        <v>108556</v>
      </c>
      <c r="D35" s="30">
        <v>4.9919999999999999E-2</v>
      </c>
      <c r="E35" s="31">
        <f t="shared" si="7"/>
        <v>5419.1155200000003</v>
      </c>
    </row>
    <row r="36" spans="2:5" x14ac:dyDescent="0.2">
      <c r="B36" s="28" t="s">
        <v>51</v>
      </c>
      <c r="C36">
        <v>101355</v>
      </c>
      <c r="D36" s="30">
        <v>4.9919999999999999E-2</v>
      </c>
      <c r="E36" s="31">
        <f t="shared" si="7"/>
        <v>5059.6415999999999</v>
      </c>
    </row>
    <row r="37" spans="2:5" x14ac:dyDescent="0.2">
      <c r="B37" s="28" t="s">
        <v>52</v>
      </c>
      <c r="C37">
        <v>86489</v>
      </c>
      <c r="D37" s="30">
        <v>4.9919999999999999E-2</v>
      </c>
      <c r="E37" s="31">
        <f t="shared" si="7"/>
        <v>4317.5308800000003</v>
      </c>
    </row>
    <row r="38" spans="2:5" x14ac:dyDescent="0.2">
      <c r="B38" s="28" t="s">
        <v>53</v>
      </c>
      <c r="C38">
        <v>102073</v>
      </c>
      <c r="D38" s="30">
        <v>4.9919999999999999E-2</v>
      </c>
      <c r="E38" s="31">
        <f>C38*D38</f>
        <v>5095.48416</v>
      </c>
    </row>
    <row r="39" spans="2:5" x14ac:dyDescent="0.2">
      <c r="B39" s="28" t="s">
        <v>54</v>
      </c>
      <c r="C39">
        <v>119990</v>
      </c>
      <c r="D39" s="30">
        <v>4.9919999999999999E-2</v>
      </c>
      <c r="E39" s="31">
        <f t="shared" ref="E39:E40" si="8">C39*D39</f>
        <v>5989.9008000000003</v>
      </c>
    </row>
    <row r="40" spans="2:5" x14ac:dyDescent="0.2">
      <c r="B40" s="28" t="s">
        <v>57</v>
      </c>
      <c r="C40">
        <v>130460</v>
      </c>
      <c r="D40" s="30">
        <v>4.9919999999999999E-2</v>
      </c>
      <c r="E40" s="31">
        <f t="shared" si="8"/>
        <v>6512.5631999999996</v>
      </c>
    </row>
    <row r="41" spans="2:5" x14ac:dyDescent="0.2">
      <c r="B41" s="28" t="s">
        <v>55</v>
      </c>
      <c r="C41" s="32">
        <v>131595</v>
      </c>
      <c r="D41" s="30">
        <v>4.9919999999999999E-2</v>
      </c>
      <c r="E41" s="31">
        <f>C41*D41</f>
        <v>6569.2223999999997</v>
      </c>
    </row>
    <row r="42" spans="2:5" ht="16" thickBot="1" x14ac:dyDescent="0.25">
      <c r="B42" s="33" t="s">
        <v>58</v>
      </c>
      <c r="C42" s="34">
        <f>SUM(C32:C41)</f>
        <v>1180214</v>
      </c>
      <c r="D42" s="35">
        <f>D32</f>
        <v>4.9919999999999999E-2</v>
      </c>
      <c r="E42" s="36">
        <f>SUM(E32:E41)</f>
        <v>58916.282879999999</v>
      </c>
    </row>
    <row r="43" spans="2:5" x14ac:dyDescent="0.2">
      <c r="B43" s="39"/>
      <c r="C43" s="40" t="s">
        <v>62</v>
      </c>
      <c r="D43" s="41" t="s">
        <v>63</v>
      </c>
      <c r="E43" s="42" t="s">
        <v>64</v>
      </c>
    </row>
    <row r="44" spans="2:5" ht="16" thickBot="1" x14ac:dyDescent="0.25">
      <c r="B44" s="33" t="s">
        <v>61</v>
      </c>
      <c r="C44" s="37">
        <f>E42*0.65*1.05</f>
        <v>40210.363065600002</v>
      </c>
      <c r="D44" s="37">
        <f>C44</f>
        <v>40210.363065600002</v>
      </c>
      <c r="E44" s="37">
        <f>D44</f>
        <v>40210.363065600002</v>
      </c>
    </row>
    <row r="46" spans="2:5" x14ac:dyDescent="0.2">
      <c r="B46" s="52" t="s">
        <v>76</v>
      </c>
      <c r="C46" s="52" t="s">
        <v>0</v>
      </c>
      <c r="D46" s="52" t="s">
        <v>1</v>
      </c>
      <c r="E46" s="52" t="s">
        <v>2</v>
      </c>
    </row>
    <row r="47" spans="2:5" x14ac:dyDescent="0.2">
      <c r="B47" s="1" t="s">
        <v>77</v>
      </c>
      <c r="C47" s="49">
        <f>(136+128)/12*10</f>
        <v>220</v>
      </c>
      <c r="D47" s="49">
        <f>(136+128)/12*10</f>
        <v>220</v>
      </c>
      <c r="E47" s="49">
        <f>(136+128)/12*10</f>
        <v>220</v>
      </c>
    </row>
    <row r="48" spans="2:5" x14ac:dyDescent="0.2">
      <c r="B48" s="1" t="s">
        <v>78</v>
      </c>
      <c r="C48" s="50">
        <v>2.8400000000000001E-3</v>
      </c>
      <c r="D48" s="50">
        <v>2.8400000000000001E-3</v>
      </c>
      <c r="E48" s="50">
        <v>2.8400000000000001E-3</v>
      </c>
    </row>
    <row r="49" spans="2:7" x14ac:dyDescent="0.2">
      <c r="B49" s="1" t="s">
        <v>42</v>
      </c>
      <c r="C49" s="51">
        <v>0.05</v>
      </c>
      <c r="D49" s="51">
        <v>7.4999999999999997E-2</v>
      </c>
      <c r="E49" s="51">
        <v>0.1</v>
      </c>
    </row>
    <row r="50" spans="2:7" x14ac:dyDescent="0.2">
      <c r="B50" s="1" t="s">
        <v>79</v>
      </c>
      <c r="C50" s="57">
        <f>C47*1000*C48</f>
        <v>624.80000000000007</v>
      </c>
      <c r="D50" s="57">
        <f t="shared" ref="D50:E50" si="9">D47*1000*D48</f>
        <v>624.80000000000007</v>
      </c>
      <c r="E50" s="57">
        <f t="shared" si="9"/>
        <v>624.80000000000007</v>
      </c>
    </row>
    <row r="51" spans="2:7" x14ac:dyDescent="0.2">
      <c r="B51" s="1" t="s">
        <v>80</v>
      </c>
      <c r="C51" s="57">
        <f>C50*0.65</f>
        <v>406.12000000000006</v>
      </c>
      <c r="D51" s="57">
        <f t="shared" ref="D51" si="10">D50*0.65</f>
        <v>406.12000000000006</v>
      </c>
      <c r="E51" s="57">
        <f>E50*0.65</f>
        <v>406.12000000000006</v>
      </c>
    </row>
    <row r="53" spans="2:7" x14ac:dyDescent="0.2">
      <c r="B53" s="52" t="s">
        <v>82</v>
      </c>
      <c r="C53" s="52" t="s">
        <v>0</v>
      </c>
      <c r="D53" s="52" t="s">
        <v>1</v>
      </c>
      <c r="E53" s="52" t="s">
        <v>2</v>
      </c>
    </row>
    <row r="54" spans="2:7" x14ac:dyDescent="0.2">
      <c r="B54" s="1" t="s">
        <v>83</v>
      </c>
      <c r="C54" s="54">
        <f>3+22+31+23+20+16+10</f>
        <v>125</v>
      </c>
      <c r="D54" s="54">
        <f t="shared" ref="D54:E54" si="11">3+22+31+23+20+16+10</f>
        <v>125</v>
      </c>
      <c r="E54" s="54">
        <f t="shared" si="11"/>
        <v>125</v>
      </c>
    </row>
    <row r="55" spans="2:7" x14ac:dyDescent="0.2">
      <c r="B55" s="1" t="s">
        <v>84</v>
      </c>
      <c r="C55" s="55">
        <v>80</v>
      </c>
      <c r="D55" s="55">
        <v>80</v>
      </c>
      <c r="E55" s="55">
        <v>80</v>
      </c>
    </row>
    <row r="56" spans="2:7" x14ac:dyDescent="0.2">
      <c r="B56" s="1" t="s">
        <v>42</v>
      </c>
      <c r="C56" s="51">
        <v>0.05</v>
      </c>
      <c r="D56" s="51">
        <v>7.4999999999999997E-2</v>
      </c>
      <c r="E56" s="51">
        <v>0.1</v>
      </c>
    </row>
    <row r="57" spans="2:7" x14ac:dyDescent="0.2">
      <c r="B57" s="1" t="s">
        <v>79</v>
      </c>
      <c r="C57" s="56">
        <f>C54*C55</f>
        <v>10000</v>
      </c>
      <c r="D57" s="56">
        <f t="shared" ref="D57:E57" si="12">D54*D55</f>
        <v>10000</v>
      </c>
      <c r="E57" s="56">
        <f t="shared" si="12"/>
        <v>10000</v>
      </c>
    </row>
    <row r="58" spans="2:7" x14ac:dyDescent="0.2">
      <c r="B58" s="1" t="s">
        <v>80</v>
      </c>
      <c r="C58" s="56">
        <f>C57*0.65</f>
        <v>6500</v>
      </c>
      <c r="D58" s="56">
        <f t="shared" ref="D58:E58" si="13">D57*0.65</f>
        <v>6500</v>
      </c>
      <c r="E58" s="56">
        <f t="shared" si="13"/>
        <v>6500</v>
      </c>
    </row>
    <row r="59" spans="2:7" x14ac:dyDescent="0.2">
      <c r="C59" s="25"/>
      <c r="D59" s="25"/>
      <c r="E59" s="25"/>
    </row>
    <row r="60" spans="2:7" x14ac:dyDescent="0.2">
      <c r="B60" s="2" t="s">
        <v>16</v>
      </c>
      <c r="C60" s="2" t="s">
        <v>0</v>
      </c>
      <c r="D60" s="2" t="s">
        <v>1</v>
      </c>
      <c r="E60" s="2" t="s">
        <v>2</v>
      </c>
      <c r="G60" s="2" t="s">
        <v>17</v>
      </c>
    </row>
    <row r="61" spans="2:7" x14ac:dyDescent="0.2">
      <c r="B61" s="1" t="s">
        <v>18</v>
      </c>
      <c r="C61" s="1">
        <v>12</v>
      </c>
      <c r="D61" s="1">
        <v>12</v>
      </c>
      <c r="E61" s="1">
        <v>12</v>
      </c>
      <c r="G61" s="11">
        <v>0.02</v>
      </c>
    </row>
    <row r="62" spans="2:7" x14ac:dyDescent="0.2">
      <c r="B62" s="1" t="s">
        <v>22</v>
      </c>
      <c r="C62" s="1">
        <v>1</v>
      </c>
      <c r="D62" s="1">
        <v>1</v>
      </c>
      <c r="E62" s="1">
        <v>1</v>
      </c>
      <c r="G62" s="2" t="s">
        <v>44</v>
      </c>
    </row>
    <row r="63" spans="2:7" x14ac:dyDescent="0.2">
      <c r="B63" s="1" t="s">
        <v>20</v>
      </c>
      <c r="C63" s="5">
        <f>C62*$G$65</f>
        <v>1811.8368</v>
      </c>
      <c r="D63" s="5">
        <f>C63*1.02</f>
        <v>1848.0735360000001</v>
      </c>
      <c r="E63" s="5">
        <f>D63*1.02</f>
        <v>1885.0350067200002</v>
      </c>
      <c r="G63" s="4">
        <v>1709.28</v>
      </c>
    </row>
    <row r="64" spans="2:7" x14ac:dyDescent="0.2">
      <c r="B64" s="1" t="s">
        <v>21</v>
      </c>
      <c r="C64" s="5">
        <f>C61*C63</f>
        <v>21742.0416</v>
      </c>
      <c r="D64" s="5">
        <f>D61*D63</f>
        <v>22176.882432000002</v>
      </c>
      <c r="E64" s="5">
        <f>E61*E63</f>
        <v>22620.420080640004</v>
      </c>
      <c r="G64" s="26" t="s">
        <v>45</v>
      </c>
    </row>
    <row r="65" spans="2:7" x14ac:dyDescent="0.2">
      <c r="B65" s="1" t="s">
        <v>19</v>
      </c>
      <c r="C65" s="5">
        <f>C64*0.4</f>
        <v>8696.8166400000009</v>
      </c>
      <c r="D65" s="5">
        <f>D64*0.4</f>
        <v>8870.7529728000009</v>
      </c>
      <c r="E65" s="5">
        <f>E64*0.4</f>
        <v>9048.1680322560023</v>
      </c>
      <c r="G65" s="27">
        <f>G63*1.06</f>
        <v>1811.8368</v>
      </c>
    </row>
    <row r="66" spans="2:7" x14ac:dyDescent="0.2">
      <c r="B66" s="8" t="s">
        <v>23</v>
      </c>
      <c r="C66" s="7">
        <f>C64</f>
        <v>21742.0416</v>
      </c>
      <c r="D66" s="7">
        <f>D64</f>
        <v>22176.882432000002</v>
      </c>
      <c r="E66" s="7">
        <f t="shared" ref="E66" si="14">E64</f>
        <v>22620.420080640004</v>
      </c>
    </row>
    <row r="67" spans="2:7" x14ac:dyDescent="0.2">
      <c r="B67" s="8" t="s">
        <v>24</v>
      </c>
      <c r="C67" s="7">
        <f>C65</f>
        <v>8696.8166400000009</v>
      </c>
      <c r="D67" s="7">
        <f t="shared" ref="D67:E67" si="15">D65</f>
        <v>8870.7529728000009</v>
      </c>
      <c r="E67" s="7">
        <f t="shared" si="15"/>
        <v>9048.1680322560023</v>
      </c>
    </row>
    <row r="68" spans="2:7" x14ac:dyDescent="0.2">
      <c r="B68" s="8" t="s">
        <v>170</v>
      </c>
      <c r="C68" s="148">
        <f>C63-(C63*0.28)</f>
        <v>1304.522496</v>
      </c>
      <c r="D68" s="148">
        <f>D63-(D63*0.28)</f>
        <v>1330.6129459200001</v>
      </c>
      <c r="E68" s="148">
        <f t="shared" ref="E68" si="16">E63-(E63*0.28)</f>
        <v>1357.2252048384</v>
      </c>
    </row>
    <row r="95" spans="6:6" x14ac:dyDescent="0.2">
      <c r="F95" s="57"/>
    </row>
  </sheetData>
  <mergeCells count="4">
    <mergeCell ref="A1:E1"/>
    <mergeCell ref="A5:A6"/>
    <mergeCell ref="A14:A16"/>
    <mergeCell ref="G23:H2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856BF-6748-47B6-AD9D-18A01A3D1586}">
  <dimension ref="A1:O95"/>
  <sheetViews>
    <sheetView zoomScale="80" zoomScaleNormal="80" workbookViewId="0">
      <selection activeCell="F25" sqref="F25"/>
    </sheetView>
  </sheetViews>
  <sheetFormatPr baseColWidth="10" defaultRowHeight="15" x14ac:dyDescent="0.2"/>
  <cols>
    <col min="1" max="1" width="63.1640625" customWidth="1"/>
    <col min="2" max="2" width="32.1640625" bestFit="1" customWidth="1"/>
    <col min="3" max="3" width="17.1640625" customWidth="1"/>
    <col min="4" max="5" width="17.1640625" bestFit="1" customWidth="1"/>
    <col min="6" max="6" width="19.83203125" customWidth="1"/>
    <col min="7" max="7" width="31.83203125" customWidth="1"/>
    <col min="8" max="10" width="16.1640625" bestFit="1" customWidth="1"/>
    <col min="11" max="11" width="13.1640625" bestFit="1" customWidth="1"/>
    <col min="12" max="12" width="36.83203125" customWidth="1"/>
    <col min="13" max="13" width="14.5" customWidth="1"/>
    <col min="14" max="14" width="14.1640625" customWidth="1"/>
    <col min="15" max="15" width="26.33203125" customWidth="1"/>
    <col min="16" max="17" width="17.83203125" customWidth="1"/>
    <col min="18" max="18" width="19.83203125" customWidth="1"/>
  </cols>
  <sheetData>
    <row r="1" spans="1:15" ht="24" x14ac:dyDescent="0.3">
      <c r="A1" s="158" t="s">
        <v>178</v>
      </c>
      <c r="B1" s="158"/>
      <c r="C1" s="158"/>
      <c r="D1" s="158"/>
      <c r="E1" s="158"/>
      <c r="G1" s="103" t="s">
        <v>4</v>
      </c>
      <c r="H1" s="103" t="s">
        <v>0</v>
      </c>
      <c r="I1" s="103" t="s">
        <v>1</v>
      </c>
      <c r="J1" s="103" t="s">
        <v>2</v>
      </c>
      <c r="L1" s="43"/>
      <c r="M1" s="44" t="s">
        <v>37</v>
      </c>
      <c r="N1" s="44" t="s">
        <v>1</v>
      </c>
      <c r="O1" s="45" t="s">
        <v>94</v>
      </c>
    </row>
    <row r="2" spans="1:15" ht="16" x14ac:dyDescent="0.2">
      <c r="A2" s="77" t="s">
        <v>86</v>
      </c>
      <c r="B2" s="76" t="s">
        <v>41</v>
      </c>
      <c r="C2" s="76" t="s">
        <v>0</v>
      </c>
      <c r="D2" s="76" t="s">
        <v>1</v>
      </c>
      <c r="E2" s="76" t="s">
        <v>2</v>
      </c>
      <c r="G2" s="104" t="s">
        <v>65</v>
      </c>
      <c r="H2" s="105">
        <f>$M2*10</f>
        <v>451750</v>
      </c>
      <c r="I2" s="105">
        <f>$M2*10</f>
        <v>451750</v>
      </c>
      <c r="J2" s="105">
        <f>$M2*10</f>
        <v>451750</v>
      </c>
      <c r="L2" s="46" t="s">
        <v>93</v>
      </c>
      <c r="M2" s="47">
        <f>45175</f>
        <v>45175</v>
      </c>
      <c r="N2" s="47">
        <f>45175</f>
        <v>45175</v>
      </c>
      <c r="O2" s="48">
        <f>45175</f>
        <v>45175</v>
      </c>
    </row>
    <row r="3" spans="1:15" ht="95.5" customHeight="1" thickBot="1" x14ac:dyDescent="0.25">
      <c r="A3" s="82" t="s">
        <v>179</v>
      </c>
      <c r="B3" s="94" t="s">
        <v>92</v>
      </c>
      <c r="C3" s="64" cm="1">
        <f t="array" ref="C3:E3">+H5:J5</f>
        <v>323001.25</v>
      </c>
      <c r="D3" s="64">
        <v>371451.4375</v>
      </c>
      <c r="E3" s="64">
        <v>445741.72499999998</v>
      </c>
      <c r="G3" s="104" t="s">
        <v>66</v>
      </c>
      <c r="H3" s="105">
        <f>H2*0.65</f>
        <v>293637.5</v>
      </c>
      <c r="I3" s="105">
        <f>I2*0.65</f>
        <v>293637.5</v>
      </c>
      <c r="J3" s="105">
        <f t="shared" ref="J3" si="0">J2*0.65</f>
        <v>293637.5</v>
      </c>
      <c r="L3" s="79" t="s">
        <v>95</v>
      </c>
      <c r="M3" s="80">
        <f>(M2*0.65)*1.05</f>
        <v>30831.9375</v>
      </c>
      <c r="N3" s="81">
        <f>M3*1.075</f>
        <v>33144.332812499997</v>
      </c>
      <c r="O3" s="81">
        <f>N3*1.1</f>
        <v>36458.766093749997</v>
      </c>
    </row>
    <row r="4" spans="1:15" s="62" customFormat="1" ht="72" customHeight="1" x14ac:dyDescent="0.2">
      <c r="A4" s="82" t="s">
        <v>96</v>
      </c>
      <c r="B4" s="95" t="s">
        <v>5</v>
      </c>
      <c r="C4" s="65">
        <f>C28</f>
        <v>198770.00000000003</v>
      </c>
      <c r="D4" s="65">
        <f>D28</f>
        <v>207804.99999999997</v>
      </c>
      <c r="E4" s="65">
        <f>E28</f>
        <v>216840</v>
      </c>
      <c r="G4" s="104" t="s">
        <v>67</v>
      </c>
      <c r="H4" s="106">
        <v>0.1</v>
      </c>
      <c r="I4" s="107">
        <v>0.15</v>
      </c>
      <c r="J4" s="106">
        <v>0.2</v>
      </c>
    </row>
    <row r="5" spans="1:15" x14ac:dyDescent="0.2">
      <c r="A5" s="162"/>
      <c r="B5" s="96" t="s">
        <v>9</v>
      </c>
      <c r="C5" s="66">
        <f>C3-C4</f>
        <v>124231.24999999997</v>
      </c>
      <c r="D5" s="66">
        <f>D3-D4</f>
        <v>163646.43750000003</v>
      </c>
      <c r="E5" s="66">
        <f>E3-E4</f>
        <v>228901.72499999998</v>
      </c>
      <c r="G5" s="108" t="s">
        <v>3</v>
      </c>
      <c r="H5" s="109">
        <f>H3*1.1</f>
        <v>323001.25</v>
      </c>
      <c r="I5" s="109">
        <f>H5*1.15</f>
        <v>371451.4375</v>
      </c>
      <c r="J5" s="109">
        <f>I5*1.2</f>
        <v>445741.72499999998</v>
      </c>
    </row>
    <row r="6" spans="1:15" ht="14.25" customHeight="1" x14ac:dyDescent="0.2">
      <c r="A6" s="162"/>
      <c r="B6" s="97" t="s">
        <v>6</v>
      </c>
      <c r="C6" s="67">
        <f>SUM(C7:C13)</f>
        <v>57766.874259200013</v>
      </c>
      <c r="D6" s="67">
        <f>SUM(D7:D13)</f>
        <v>65225.155398080009</v>
      </c>
      <c r="E6" s="67">
        <f>SUM(E7:E13)</f>
        <v>76661.186477695999</v>
      </c>
    </row>
    <row r="7" spans="1:15" ht="81.75" customHeight="1" x14ac:dyDescent="0.2">
      <c r="A7" s="83" t="s">
        <v>97</v>
      </c>
      <c r="B7" s="98" t="s">
        <v>7</v>
      </c>
      <c r="C7" s="68">
        <f>C44</f>
        <v>42125.142259200009</v>
      </c>
      <c r="D7" s="68">
        <f>D44</f>
        <v>48443.913598080006</v>
      </c>
      <c r="E7" s="68">
        <f>E44</f>
        <v>58132.696317696005</v>
      </c>
      <c r="H7" s="155">
        <f>I7*H8</f>
        <v>29363750</v>
      </c>
      <c r="I7" s="111">
        <f>H3</f>
        <v>293637.5</v>
      </c>
    </row>
    <row r="8" spans="1:15" ht="38.25" customHeight="1" x14ac:dyDescent="0.2">
      <c r="A8" s="82" t="s">
        <v>98</v>
      </c>
      <c r="B8" s="98" t="s">
        <v>74</v>
      </c>
      <c r="C8" s="68">
        <f>150+15</f>
        <v>165</v>
      </c>
      <c r="D8" s="68">
        <f>150+15</f>
        <v>165</v>
      </c>
      <c r="E8" s="68">
        <f>150+15</f>
        <v>165</v>
      </c>
      <c r="F8" s="53"/>
      <c r="H8">
        <v>100</v>
      </c>
      <c r="I8" s="111">
        <f>J5</f>
        <v>445741.72499999998</v>
      </c>
    </row>
    <row r="9" spans="1:15" ht="102" customHeight="1" x14ac:dyDescent="0.2">
      <c r="A9" s="63" t="s">
        <v>99</v>
      </c>
      <c r="B9" s="98" t="s">
        <v>10</v>
      </c>
      <c r="C9" s="68">
        <f>2400</f>
        <v>2400</v>
      </c>
      <c r="D9" s="68">
        <f>C9</f>
        <v>2400</v>
      </c>
      <c r="E9" s="68">
        <f>D9</f>
        <v>2400</v>
      </c>
      <c r="H9">
        <f>H7/I8</f>
        <v>65.876152832674578</v>
      </c>
    </row>
    <row r="10" spans="1:15" ht="45.75" customHeight="1" x14ac:dyDescent="0.2">
      <c r="A10" s="62" t="s">
        <v>100</v>
      </c>
      <c r="B10" s="98" t="s">
        <v>75</v>
      </c>
      <c r="C10" s="75">
        <f>C52</f>
        <v>446.73200000000008</v>
      </c>
      <c r="D10" s="75">
        <f t="shared" ref="D10:E10" si="1">D52</f>
        <v>513.74180000000001</v>
      </c>
      <c r="E10" s="75">
        <f t="shared" si="1"/>
        <v>616.49015999999995</v>
      </c>
    </row>
    <row r="11" spans="1:15" ht="42.5" customHeight="1" x14ac:dyDescent="0.2">
      <c r="A11" s="63" t="s">
        <v>173</v>
      </c>
      <c r="B11" s="98" t="s">
        <v>73</v>
      </c>
      <c r="C11" s="68">
        <f>40*12</f>
        <v>480</v>
      </c>
      <c r="D11" s="68">
        <f t="shared" ref="D11:E11" si="2">40*12</f>
        <v>480</v>
      </c>
      <c r="E11" s="68">
        <f t="shared" si="2"/>
        <v>480</v>
      </c>
    </row>
    <row r="12" spans="1:15" ht="33" customHeight="1" x14ac:dyDescent="0.2">
      <c r="A12" s="63" t="s">
        <v>172</v>
      </c>
      <c r="B12" s="98" t="s">
        <v>171</v>
      </c>
      <c r="C12" s="68">
        <v>5000</v>
      </c>
      <c r="D12" s="68">
        <v>5000</v>
      </c>
      <c r="E12" s="68">
        <v>5000</v>
      </c>
    </row>
    <row r="13" spans="1:15" ht="15" customHeight="1" x14ac:dyDescent="0.2">
      <c r="A13" s="62" t="s">
        <v>101</v>
      </c>
      <c r="B13" s="98" t="s">
        <v>81</v>
      </c>
      <c r="C13" s="68">
        <f>C60</f>
        <v>7150.0000000000009</v>
      </c>
      <c r="D13" s="68">
        <f>D60</f>
        <v>8222.5</v>
      </c>
      <c r="E13" s="68">
        <f>E60</f>
        <v>9867</v>
      </c>
    </row>
    <row r="14" spans="1:15" ht="30" customHeight="1" x14ac:dyDescent="0.2">
      <c r="A14" s="163" t="s">
        <v>105</v>
      </c>
      <c r="B14" s="97" t="s">
        <v>11</v>
      </c>
      <c r="C14" s="67">
        <f>+SUM(C15:C16)</f>
        <v>30438.858240000001</v>
      </c>
      <c r="D14" s="67">
        <f>+SUM(D15:D16)</f>
        <v>31047.635404800003</v>
      </c>
      <c r="E14" s="67">
        <f>+SUM(E15:E16)</f>
        <v>31668.588112896006</v>
      </c>
    </row>
    <row r="15" spans="1:15" ht="29.25" customHeight="1" x14ac:dyDescent="0.2">
      <c r="A15" s="163"/>
      <c r="B15" s="98" t="s">
        <v>16</v>
      </c>
      <c r="C15" s="68" cm="1">
        <f t="array" ref="C15:E16">C68:E69</f>
        <v>21742.0416</v>
      </c>
      <c r="D15" s="68">
        <v>22176.882432000002</v>
      </c>
      <c r="E15" s="68">
        <v>22620.420080640004</v>
      </c>
    </row>
    <row r="16" spans="1:15" ht="28.5" customHeight="1" x14ac:dyDescent="0.2">
      <c r="A16" s="163"/>
      <c r="B16" s="98" t="s">
        <v>25</v>
      </c>
      <c r="C16" s="68">
        <v>8696.8166400000009</v>
      </c>
      <c r="D16" s="68">
        <v>8870.7529728000009</v>
      </c>
      <c r="E16" s="68">
        <v>9048.1680322560023</v>
      </c>
    </row>
    <row r="17" spans="1:10" x14ac:dyDescent="0.2">
      <c r="B17" s="99" t="s">
        <v>12</v>
      </c>
      <c r="C17" s="60">
        <f>C5-C6-C14</f>
        <v>36025.517500799964</v>
      </c>
      <c r="D17" s="60">
        <f>D5-D6-D14</f>
        <v>67373.646697120013</v>
      </c>
      <c r="E17" s="60">
        <f>E5-E6-E14</f>
        <v>120571.95040940797</v>
      </c>
    </row>
    <row r="18" spans="1:10" ht="32" x14ac:dyDescent="0.2">
      <c r="A18" s="62" t="s">
        <v>115</v>
      </c>
      <c r="B18" s="100" t="s">
        <v>13</v>
      </c>
      <c r="C18" s="61"/>
      <c r="D18" s="61"/>
      <c r="E18" s="61"/>
    </row>
    <row r="19" spans="1:10" x14ac:dyDescent="0.2">
      <c r="B19" s="100" t="s">
        <v>116</v>
      </c>
      <c r="C19" s="61">
        <f>154+2000+2140</f>
        <v>4294</v>
      </c>
      <c r="D19" s="61">
        <f>154+2000+2140</f>
        <v>4294</v>
      </c>
      <c r="E19" s="61">
        <f>154+2000+2140</f>
        <v>4294</v>
      </c>
    </row>
    <row r="20" spans="1:10" x14ac:dyDescent="0.2">
      <c r="B20" s="99" t="s">
        <v>117</v>
      </c>
      <c r="C20" s="60">
        <f>+C17-SUM(C18:C19)</f>
        <v>31731.517500799964</v>
      </c>
      <c r="D20" s="60">
        <f>+D17-SUM(D18:D19)</f>
        <v>63079.646697120013</v>
      </c>
      <c r="E20" s="60">
        <f>+E17-SUM(E18:E19)</f>
        <v>116277.95040940797</v>
      </c>
    </row>
    <row r="21" spans="1:10" x14ac:dyDescent="0.2">
      <c r="B21" s="100" t="s">
        <v>14</v>
      </c>
      <c r="C21" s="61">
        <f>C20*0.25</f>
        <v>7932.879375199991</v>
      </c>
      <c r="D21" s="61">
        <f t="shared" ref="D21:E21" si="3">D20*0.25</f>
        <v>15769.911674280003</v>
      </c>
      <c r="E21" s="61">
        <f t="shared" si="3"/>
        <v>29069.487602351994</v>
      </c>
    </row>
    <row r="22" spans="1:10" x14ac:dyDescent="0.2">
      <c r="B22" s="99" t="s">
        <v>15</v>
      </c>
      <c r="C22" s="60">
        <f>+C20-C21</f>
        <v>23798.638125599973</v>
      </c>
      <c r="D22" s="60">
        <f>+D20-D21</f>
        <v>47309.73502284001</v>
      </c>
      <c r="E22" s="60">
        <f>+E20-E21</f>
        <v>87208.462807055985</v>
      </c>
    </row>
    <row r="24" spans="1:10" x14ac:dyDescent="0.2">
      <c r="B24" s="2" t="s">
        <v>5</v>
      </c>
      <c r="C24" s="2" t="s">
        <v>0</v>
      </c>
      <c r="D24" s="2" t="s">
        <v>1</v>
      </c>
      <c r="E24" s="2" t="s">
        <v>2</v>
      </c>
    </row>
    <row r="25" spans="1:10" x14ac:dyDescent="0.2">
      <c r="B25" s="1" t="s">
        <v>68</v>
      </c>
      <c r="C25" s="5">
        <f>27800*10</f>
        <v>278000</v>
      </c>
      <c r="D25" s="5">
        <f>27800*10</f>
        <v>278000</v>
      </c>
      <c r="E25" s="5">
        <f>27800*10</f>
        <v>278000</v>
      </c>
    </row>
    <row r="26" spans="1:10" x14ac:dyDescent="0.2">
      <c r="B26" s="1" t="s">
        <v>69</v>
      </c>
      <c r="C26" s="5">
        <f>C25*0.65</f>
        <v>180700</v>
      </c>
      <c r="D26" s="5">
        <f t="shared" ref="D26:E26" si="4">D25*0.65</f>
        <v>180700</v>
      </c>
      <c r="E26" s="5">
        <f t="shared" si="4"/>
        <v>180700</v>
      </c>
    </row>
    <row r="27" spans="1:10" x14ac:dyDescent="0.2">
      <c r="B27" s="1" t="s">
        <v>42</v>
      </c>
      <c r="C27" s="10">
        <v>0.05</v>
      </c>
      <c r="D27" s="78">
        <v>7.4999999999999997E-2</v>
      </c>
      <c r="E27" s="10">
        <v>0.1</v>
      </c>
    </row>
    <row r="28" spans="1:10" ht="16" thickBot="1" x14ac:dyDescent="0.25">
      <c r="B28" s="8" t="s">
        <v>5</v>
      </c>
      <c r="C28" s="7">
        <f>C26*1.1</f>
        <v>198770.00000000003</v>
      </c>
      <c r="D28" s="7">
        <f>D26*1.15</f>
        <v>207804.99999999997</v>
      </c>
      <c r="E28" s="7">
        <f>E26*1.2</f>
        <v>216840</v>
      </c>
    </row>
    <row r="29" spans="1:10" ht="16" thickBot="1" x14ac:dyDescent="0.25">
      <c r="G29" s="159" t="s">
        <v>102</v>
      </c>
      <c r="H29" s="160"/>
      <c r="I29" s="161" t="s">
        <v>103</v>
      </c>
      <c r="J29" s="160"/>
    </row>
    <row r="30" spans="1:10" x14ac:dyDescent="0.2">
      <c r="B30" s="72" t="s">
        <v>56</v>
      </c>
      <c r="C30" s="73"/>
      <c r="D30" s="73"/>
      <c r="E30" s="74"/>
      <c r="G30" s="28" t="s">
        <v>87</v>
      </c>
      <c r="H30" s="29">
        <v>700</v>
      </c>
      <c r="I30" s="12" t="s">
        <v>88</v>
      </c>
      <c r="J30" s="29">
        <v>33</v>
      </c>
    </row>
    <row r="31" spans="1:10" ht="16" thickBot="1" x14ac:dyDescent="0.25">
      <c r="B31" s="28" t="s">
        <v>46</v>
      </c>
      <c r="C31" s="12" t="s">
        <v>60</v>
      </c>
      <c r="D31" s="12" t="s">
        <v>59</v>
      </c>
      <c r="E31" s="29" t="s">
        <v>8</v>
      </c>
      <c r="G31" s="28" t="s">
        <v>88</v>
      </c>
      <c r="H31" s="29">
        <v>166</v>
      </c>
      <c r="I31" s="34" t="s">
        <v>104</v>
      </c>
      <c r="J31" s="69">
        <v>400</v>
      </c>
    </row>
    <row r="32" spans="1:10" ht="16" thickBot="1" x14ac:dyDescent="0.25">
      <c r="B32" s="28" t="s">
        <v>48</v>
      </c>
      <c r="C32">
        <v>151501</v>
      </c>
      <c r="D32" s="30">
        <v>4.9919999999999999E-2</v>
      </c>
      <c r="E32" s="31">
        <f>C32*D32</f>
        <v>7562.9299199999996</v>
      </c>
      <c r="G32" s="33" t="s">
        <v>89</v>
      </c>
      <c r="H32" s="36">
        <v>2000</v>
      </c>
      <c r="I32" s="12"/>
      <c r="J32" s="84"/>
    </row>
    <row r="33" spans="2:5" x14ac:dyDescent="0.2">
      <c r="B33" s="28" t="s">
        <v>49</v>
      </c>
      <c r="C33">
        <v>116940</v>
      </c>
      <c r="D33" s="30">
        <v>4.9919999999999999E-2</v>
      </c>
      <c r="E33" s="31">
        <f t="shared" ref="E33:E37" si="5">C33*D33</f>
        <v>5837.6448</v>
      </c>
    </row>
    <row r="34" spans="2:5" x14ac:dyDescent="0.2">
      <c r="B34" s="28" t="s">
        <v>47</v>
      </c>
      <c r="C34">
        <v>131255</v>
      </c>
      <c r="D34" s="30">
        <v>4.9919999999999999E-2</v>
      </c>
      <c r="E34" s="31">
        <f t="shared" si="5"/>
        <v>6552.2496000000001</v>
      </c>
    </row>
    <row r="35" spans="2:5" x14ac:dyDescent="0.2">
      <c r="B35" s="28" t="s">
        <v>50</v>
      </c>
      <c r="C35">
        <v>108556</v>
      </c>
      <c r="D35" s="30">
        <v>4.9919999999999999E-2</v>
      </c>
      <c r="E35" s="31">
        <f t="shared" si="5"/>
        <v>5419.1155200000003</v>
      </c>
    </row>
    <row r="36" spans="2:5" x14ac:dyDescent="0.2">
      <c r="B36" s="28" t="s">
        <v>51</v>
      </c>
      <c r="C36">
        <v>101355</v>
      </c>
      <c r="D36" s="30">
        <v>4.9919999999999999E-2</v>
      </c>
      <c r="E36" s="31">
        <f t="shared" si="5"/>
        <v>5059.6415999999999</v>
      </c>
    </row>
    <row r="37" spans="2:5" x14ac:dyDescent="0.2">
      <c r="B37" s="28" t="s">
        <v>52</v>
      </c>
      <c r="C37">
        <v>86489</v>
      </c>
      <c r="D37" s="30">
        <v>4.9919999999999999E-2</v>
      </c>
      <c r="E37" s="31">
        <f t="shared" si="5"/>
        <v>4317.5308800000003</v>
      </c>
    </row>
    <row r="38" spans="2:5" x14ac:dyDescent="0.2">
      <c r="B38" s="28" t="s">
        <v>53</v>
      </c>
      <c r="C38">
        <v>102073</v>
      </c>
      <c r="D38" s="30">
        <v>4.9919999999999999E-2</v>
      </c>
      <c r="E38" s="31">
        <f>C38*D38</f>
        <v>5095.48416</v>
      </c>
    </row>
    <row r="39" spans="2:5" x14ac:dyDescent="0.2">
      <c r="B39" s="28" t="s">
        <v>54</v>
      </c>
      <c r="C39">
        <v>119990</v>
      </c>
      <c r="D39" s="30">
        <v>4.9919999999999999E-2</v>
      </c>
      <c r="E39" s="31">
        <f t="shared" ref="E39:E40" si="6">C39*D39</f>
        <v>5989.9008000000003</v>
      </c>
    </row>
    <row r="40" spans="2:5" x14ac:dyDescent="0.2">
      <c r="B40" s="28" t="s">
        <v>57</v>
      </c>
      <c r="C40">
        <v>130460</v>
      </c>
      <c r="D40" s="30">
        <v>4.9919999999999999E-2</v>
      </c>
      <c r="E40" s="31">
        <f t="shared" si="6"/>
        <v>6512.5631999999996</v>
      </c>
    </row>
    <row r="41" spans="2:5" x14ac:dyDescent="0.2">
      <c r="B41" s="28" t="s">
        <v>55</v>
      </c>
      <c r="C41" s="32">
        <v>131595</v>
      </c>
      <c r="D41" s="30">
        <v>4.9919999999999999E-2</v>
      </c>
      <c r="E41" s="31">
        <f>C41*D41</f>
        <v>6569.2223999999997</v>
      </c>
    </row>
    <row r="42" spans="2:5" ht="16" thickBot="1" x14ac:dyDescent="0.25">
      <c r="B42" s="33" t="s">
        <v>58</v>
      </c>
      <c r="C42" s="34">
        <f>SUM(C32:C41)</f>
        <v>1180214</v>
      </c>
      <c r="D42" s="35">
        <f>D32</f>
        <v>4.9919999999999999E-2</v>
      </c>
      <c r="E42" s="36">
        <f>SUM(E32:E41)</f>
        <v>58916.282879999999</v>
      </c>
    </row>
    <row r="43" spans="2:5" x14ac:dyDescent="0.2">
      <c r="B43" s="39"/>
      <c r="C43" s="40" t="s">
        <v>62</v>
      </c>
      <c r="D43" s="41" t="s">
        <v>63</v>
      </c>
      <c r="E43" s="42" t="s">
        <v>64</v>
      </c>
    </row>
    <row r="44" spans="2:5" ht="16" thickBot="1" x14ac:dyDescent="0.25">
      <c r="B44" s="33" t="s">
        <v>61</v>
      </c>
      <c r="C44" s="37">
        <f>E42*0.65*1.1</f>
        <v>42125.142259200009</v>
      </c>
      <c r="D44" s="37">
        <f>C44*1.15</f>
        <v>48443.913598080006</v>
      </c>
      <c r="E44" s="38">
        <f>D44*1.2</f>
        <v>58132.696317696005</v>
      </c>
    </row>
    <row r="46" spans="2:5" x14ac:dyDescent="0.2">
      <c r="B46" s="52" t="s">
        <v>76</v>
      </c>
      <c r="C46" s="52" t="s">
        <v>0</v>
      </c>
      <c r="D46" s="52" t="s">
        <v>1</v>
      </c>
      <c r="E46" s="52" t="s">
        <v>2</v>
      </c>
    </row>
    <row r="47" spans="2:5" x14ac:dyDescent="0.2">
      <c r="B47" s="1" t="s">
        <v>77</v>
      </c>
      <c r="C47" s="49">
        <f>(136+128)/12*10</f>
        <v>220</v>
      </c>
      <c r="D47" s="49">
        <f>(136+128)/12*10</f>
        <v>220</v>
      </c>
      <c r="E47" s="49">
        <f>(136+128)/12*10</f>
        <v>220</v>
      </c>
    </row>
    <row r="48" spans="2:5" x14ac:dyDescent="0.2">
      <c r="B48" s="1" t="s">
        <v>78</v>
      </c>
      <c r="C48" s="50">
        <v>2.8400000000000001E-3</v>
      </c>
      <c r="D48" s="50">
        <v>2.8400000000000001E-3</v>
      </c>
      <c r="E48" s="50">
        <v>2.8400000000000001E-3</v>
      </c>
    </row>
    <row r="49" spans="2:7" x14ac:dyDescent="0.2">
      <c r="B49" s="1" t="s">
        <v>42</v>
      </c>
      <c r="C49" s="51">
        <v>0.05</v>
      </c>
      <c r="D49" s="51">
        <v>7.4999999999999997E-2</v>
      </c>
      <c r="E49" s="51">
        <v>0.1</v>
      </c>
    </row>
    <row r="50" spans="2:7" x14ac:dyDescent="0.2">
      <c r="B50" s="1" t="s">
        <v>79</v>
      </c>
      <c r="C50" s="57">
        <f>C47*1000*C48</f>
        <v>624.80000000000007</v>
      </c>
      <c r="D50" s="57">
        <f t="shared" ref="D50:E50" si="7">D47*1000*D48</f>
        <v>624.80000000000007</v>
      </c>
      <c r="E50" s="57">
        <f t="shared" si="7"/>
        <v>624.80000000000007</v>
      </c>
    </row>
    <row r="51" spans="2:7" x14ac:dyDescent="0.2">
      <c r="B51" s="1" t="s">
        <v>80</v>
      </c>
      <c r="C51" s="57">
        <f>C50*0.65</f>
        <v>406.12000000000006</v>
      </c>
      <c r="D51" s="57">
        <f t="shared" ref="D51" si="8">D50*0.65</f>
        <v>406.12000000000006</v>
      </c>
      <c r="E51" s="57">
        <f>E50*0.65</f>
        <v>406.12000000000006</v>
      </c>
    </row>
    <row r="52" spans="2:7" x14ac:dyDescent="0.2">
      <c r="B52" s="52" t="s">
        <v>80</v>
      </c>
      <c r="C52" s="58">
        <f>C51*1.1</f>
        <v>446.73200000000008</v>
      </c>
      <c r="D52" s="58">
        <f>C52*1.15</f>
        <v>513.74180000000001</v>
      </c>
      <c r="E52" s="58">
        <f>D52*1.2</f>
        <v>616.49015999999995</v>
      </c>
    </row>
    <row r="54" spans="2:7" x14ac:dyDescent="0.2">
      <c r="B54" s="52" t="s">
        <v>82</v>
      </c>
      <c r="C54" s="52" t="s">
        <v>0</v>
      </c>
      <c r="D54" s="52" t="s">
        <v>1</v>
      </c>
      <c r="E54" s="52" t="s">
        <v>2</v>
      </c>
    </row>
    <row r="55" spans="2:7" x14ac:dyDescent="0.2">
      <c r="B55" s="1" t="s">
        <v>83</v>
      </c>
      <c r="C55" s="54">
        <f>3+22+31+23+20+16+10</f>
        <v>125</v>
      </c>
      <c r="D55" s="54">
        <f t="shared" ref="D55:E55" si="9">3+22+31+23+20+16+10</f>
        <v>125</v>
      </c>
      <c r="E55" s="54">
        <f t="shared" si="9"/>
        <v>125</v>
      </c>
    </row>
    <row r="56" spans="2:7" x14ac:dyDescent="0.2">
      <c r="B56" s="1" t="s">
        <v>84</v>
      </c>
      <c r="C56" s="55">
        <v>80</v>
      </c>
      <c r="D56" s="55">
        <v>80</v>
      </c>
      <c r="E56" s="55">
        <v>80</v>
      </c>
    </row>
    <row r="57" spans="2:7" x14ac:dyDescent="0.2">
      <c r="B57" s="1" t="s">
        <v>42</v>
      </c>
      <c r="C57" s="51">
        <v>0.05</v>
      </c>
      <c r="D57" s="51">
        <v>7.4999999999999997E-2</v>
      </c>
      <c r="E57" s="51">
        <v>0.1</v>
      </c>
    </row>
    <row r="58" spans="2:7" x14ac:dyDescent="0.2">
      <c r="B58" s="1" t="s">
        <v>79</v>
      </c>
      <c r="C58" s="56">
        <f>C55*C56</f>
        <v>10000</v>
      </c>
      <c r="D58" s="56">
        <f t="shared" ref="D58:E58" si="10">D55*D56</f>
        <v>10000</v>
      </c>
      <c r="E58" s="56">
        <f t="shared" si="10"/>
        <v>10000</v>
      </c>
    </row>
    <row r="59" spans="2:7" x14ac:dyDescent="0.2">
      <c r="B59" s="1" t="s">
        <v>80</v>
      </c>
      <c r="C59" s="56">
        <f>C58*0.65</f>
        <v>6500</v>
      </c>
      <c r="D59" s="56">
        <f t="shared" ref="D59:E59" si="11">D58*0.65</f>
        <v>6500</v>
      </c>
      <c r="E59" s="56">
        <f t="shared" si="11"/>
        <v>6500</v>
      </c>
    </row>
    <row r="60" spans="2:7" x14ac:dyDescent="0.2">
      <c r="B60" s="52" t="s">
        <v>80</v>
      </c>
      <c r="C60" s="59">
        <f>C59*1.1</f>
        <v>7150.0000000000009</v>
      </c>
      <c r="D60" s="59">
        <f>C60*1.15</f>
        <v>8222.5</v>
      </c>
      <c r="E60" s="59">
        <f>D60*1.2</f>
        <v>9867</v>
      </c>
    </row>
    <row r="61" spans="2:7" x14ac:dyDescent="0.2">
      <c r="C61" s="25"/>
      <c r="D61" s="25"/>
      <c r="E61" s="25"/>
      <c r="G61" s="2" t="s">
        <v>17</v>
      </c>
    </row>
    <row r="62" spans="2:7" x14ac:dyDescent="0.2">
      <c r="B62" s="2" t="s">
        <v>16</v>
      </c>
      <c r="C62" s="2" t="s">
        <v>0</v>
      </c>
      <c r="D62" s="2" t="s">
        <v>1</v>
      </c>
      <c r="E62" s="2" t="s">
        <v>2</v>
      </c>
      <c r="G62" s="11">
        <v>0.02</v>
      </c>
    </row>
    <row r="63" spans="2:7" x14ac:dyDescent="0.2">
      <c r="B63" s="1" t="s">
        <v>18</v>
      </c>
      <c r="C63" s="1">
        <v>12</v>
      </c>
      <c r="D63" s="1">
        <v>12</v>
      </c>
      <c r="E63" s="1">
        <v>12</v>
      </c>
      <c r="G63" s="2" t="s">
        <v>44</v>
      </c>
    </row>
    <row r="64" spans="2:7" x14ac:dyDescent="0.2">
      <c r="B64" s="1" t="s">
        <v>22</v>
      </c>
      <c r="C64" s="1">
        <v>1</v>
      </c>
      <c r="D64" s="1">
        <v>1</v>
      </c>
      <c r="E64" s="1">
        <v>1</v>
      </c>
      <c r="G64" s="4">
        <v>1709.28</v>
      </c>
    </row>
    <row r="65" spans="2:7" x14ac:dyDescent="0.2">
      <c r="B65" s="1" t="s">
        <v>20</v>
      </c>
      <c r="C65" s="5">
        <f>C64*$G$66</f>
        <v>1811.8368</v>
      </c>
      <c r="D65" s="5">
        <f>C65*1.02</f>
        <v>1848.0735360000001</v>
      </c>
      <c r="E65" s="5">
        <f>D65*1.02</f>
        <v>1885.0350067200002</v>
      </c>
      <c r="G65" s="26" t="s">
        <v>45</v>
      </c>
    </row>
    <row r="66" spans="2:7" x14ac:dyDescent="0.2">
      <c r="B66" s="1" t="s">
        <v>21</v>
      </c>
      <c r="C66" s="5">
        <f>C63*C65</f>
        <v>21742.0416</v>
      </c>
      <c r="D66" s="5">
        <f>D63*D65</f>
        <v>22176.882432000002</v>
      </c>
      <c r="E66" s="5">
        <f>E63*E65</f>
        <v>22620.420080640004</v>
      </c>
      <c r="G66" s="27">
        <f>G64*1.06</f>
        <v>1811.8368</v>
      </c>
    </row>
    <row r="67" spans="2:7" x14ac:dyDescent="0.2">
      <c r="B67" s="1" t="s">
        <v>19</v>
      </c>
      <c r="C67" s="5">
        <f>C66*0.4</f>
        <v>8696.8166400000009</v>
      </c>
      <c r="D67" s="5">
        <f>D66*0.4</f>
        <v>8870.7529728000009</v>
      </c>
      <c r="E67" s="5">
        <f>E66*0.4</f>
        <v>9048.1680322560023</v>
      </c>
    </row>
    <row r="68" spans="2:7" x14ac:dyDescent="0.2">
      <c r="B68" s="8" t="s">
        <v>23</v>
      </c>
      <c r="C68" s="7">
        <f>C66</f>
        <v>21742.0416</v>
      </c>
      <c r="D68" s="7">
        <f>D66</f>
        <v>22176.882432000002</v>
      </c>
      <c r="E68" s="7">
        <f t="shared" ref="E68" si="12">E66</f>
        <v>22620.420080640004</v>
      </c>
    </row>
    <row r="69" spans="2:7" x14ac:dyDescent="0.2">
      <c r="B69" s="8" t="s">
        <v>24</v>
      </c>
      <c r="C69" s="7">
        <f>C67</f>
        <v>8696.8166400000009</v>
      </c>
      <c r="D69" s="7">
        <f t="shared" ref="D69:E69" si="13">D67</f>
        <v>8870.7529728000009</v>
      </c>
      <c r="E69" s="7">
        <f t="shared" si="13"/>
        <v>9048.1680322560023</v>
      </c>
    </row>
    <row r="70" spans="2:7" x14ac:dyDescent="0.2">
      <c r="B70" s="8" t="s">
        <v>170</v>
      </c>
      <c r="C70" s="148">
        <f>C65-(C65*0.28)</f>
        <v>1304.522496</v>
      </c>
      <c r="D70" s="148">
        <f>D65-(D65*0.28)</f>
        <v>1330.6129459200001</v>
      </c>
      <c r="E70" s="148">
        <f t="shared" ref="E70" si="14">E65-(E65*0.28)</f>
        <v>1357.2252048384</v>
      </c>
    </row>
    <row r="95" spans="6:6" x14ac:dyDescent="0.2">
      <c r="F95" s="57"/>
    </row>
  </sheetData>
  <mergeCells count="5">
    <mergeCell ref="A1:E1"/>
    <mergeCell ref="A5:A6"/>
    <mergeCell ref="A14:A16"/>
    <mergeCell ref="G29:H29"/>
    <mergeCell ref="I29:J29"/>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C3685-50EC-4DAE-8D4C-AB4D008BC850}">
  <dimension ref="A1:E33"/>
  <sheetViews>
    <sheetView zoomScaleNormal="100" workbookViewId="0">
      <selection activeCell="D8" sqref="D8"/>
    </sheetView>
  </sheetViews>
  <sheetFormatPr baseColWidth="10" defaultRowHeight="15" x14ac:dyDescent="0.2"/>
  <cols>
    <col min="1" max="1" width="31.1640625" customWidth="1"/>
    <col min="2" max="2" width="11.5" customWidth="1"/>
    <col min="3" max="3" width="14.83203125" customWidth="1"/>
  </cols>
  <sheetData>
    <row r="1" spans="1:5" x14ac:dyDescent="0.2">
      <c r="A1" s="86" t="s">
        <v>106</v>
      </c>
      <c r="B1" s="86"/>
      <c r="C1" s="86"/>
      <c r="D1" s="86"/>
    </row>
    <row r="2" spans="1:5" x14ac:dyDescent="0.2">
      <c r="A2" s="2" t="s">
        <v>34</v>
      </c>
      <c r="B2" s="2" t="s">
        <v>0</v>
      </c>
      <c r="C2" s="2" t="s">
        <v>1</v>
      </c>
      <c r="D2" s="2" t="s">
        <v>2</v>
      </c>
    </row>
    <row r="3" spans="1:5" x14ac:dyDescent="0.2">
      <c r="A3" s="85" t="s">
        <v>70</v>
      </c>
      <c r="B3" s="5">
        <v>1000</v>
      </c>
      <c r="C3" s="5"/>
      <c r="D3" s="5"/>
    </row>
    <row r="4" spans="1:5" x14ac:dyDescent="0.2">
      <c r="A4" s="1" t="s">
        <v>43</v>
      </c>
      <c r="B4" s="5">
        <v>10000</v>
      </c>
      <c r="C4" s="5"/>
      <c r="D4" s="5"/>
    </row>
    <row r="5" spans="1:5" x14ac:dyDescent="0.2">
      <c r="A5" s="1" t="s">
        <v>85</v>
      </c>
      <c r="B5" s="5">
        <v>70</v>
      </c>
      <c r="C5" s="5"/>
      <c r="D5" s="5"/>
      <c r="E5" s="12"/>
    </row>
    <row r="6" spans="1:5" x14ac:dyDescent="0.2">
      <c r="A6" s="1" t="s">
        <v>71</v>
      </c>
      <c r="B6" s="5">
        <v>9400</v>
      </c>
      <c r="C6" s="5"/>
      <c r="D6" s="5"/>
    </row>
    <row r="7" spans="1:5" x14ac:dyDescent="0.2">
      <c r="A7" s="1" t="s">
        <v>72</v>
      </c>
      <c r="B7" s="5">
        <v>300</v>
      </c>
      <c r="C7" s="5"/>
      <c r="D7" s="5"/>
    </row>
    <row r="8" spans="1:5" x14ac:dyDescent="0.2">
      <c r="A8" s="1" t="s">
        <v>111</v>
      </c>
      <c r="B8" s="5">
        <v>700</v>
      </c>
      <c r="C8" s="5"/>
      <c r="D8" s="5"/>
    </row>
    <row r="9" spans="1:5" x14ac:dyDescent="0.2">
      <c r="A9" s="9" t="s">
        <v>35</v>
      </c>
      <c r="B9" s="7">
        <f>SUM(B3:B8)</f>
        <v>21470</v>
      </c>
      <c r="C9" s="7"/>
      <c r="D9" s="7"/>
    </row>
    <row r="11" spans="1:5" x14ac:dyDescent="0.2">
      <c r="A11" s="167" t="s">
        <v>112</v>
      </c>
      <c r="B11" s="167"/>
      <c r="C11" s="167"/>
      <c r="D11" s="167"/>
    </row>
    <row r="12" spans="1:5" x14ac:dyDescent="0.2">
      <c r="A12" s="91" t="s">
        <v>110</v>
      </c>
      <c r="B12" s="91" t="s">
        <v>109</v>
      </c>
      <c r="C12" s="91" t="s">
        <v>108</v>
      </c>
      <c r="D12" s="92" t="s">
        <v>107</v>
      </c>
    </row>
    <row r="13" spans="1:5" x14ac:dyDescent="0.2">
      <c r="A13" s="89">
        <v>1</v>
      </c>
      <c r="B13" s="90">
        <v>770</v>
      </c>
      <c r="C13" s="88">
        <f>B13/A17</f>
        <v>154</v>
      </c>
      <c r="D13" s="87">
        <f>B13-C13</f>
        <v>616</v>
      </c>
    </row>
    <row r="14" spans="1:5" x14ac:dyDescent="0.2">
      <c r="A14" s="89">
        <v>2</v>
      </c>
      <c r="B14" s="87">
        <f>B13-C13</f>
        <v>616</v>
      </c>
      <c r="C14" s="88">
        <v>154</v>
      </c>
      <c r="D14" s="87">
        <f>B14-C14</f>
        <v>462</v>
      </c>
    </row>
    <row r="15" spans="1:5" x14ac:dyDescent="0.2">
      <c r="A15" s="89">
        <v>3</v>
      </c>
      <c r="B15" s="87">
        <f>B14-C14</f>
        <v>462</v>
      </c>
      <c r="C15" s="88">
        <v>154</v>
      </c>
      <c r="D15" s="87">
        <f>B15-C15</f>
        <v>308</v>
      </c>
    </row>
    <row r="16" spans="1:5" x14ac:dyDescent="0.2">
      <c r="A16" s="89">
        <v>4</v>
      </c>
      <c r="B16" s="87">
        <f>B15-C15</f>
        <v>308</v>
      </c>
      <c r="C16" s="88">
        <v>154</v>
      </c>
      <c r="D16" s="87">
        <f>B16-C16</f>
        <v>154</v>
      </c>
    </row>
    <row r="17" spans="1:4" x14ac:dyDescent="0.2">
      <c r="A17" s="89">
        <v>5</v>
      </c>
      <c r="B17" s="87">
        <f>B16-C16</f>
        <v>154</v>
      </c>
      <c r="C17" s="88">
        <v>154</v>
      </c>
      <c r="D17" s="87">
        <f>B17-C17</f>
        <v>0</v>
      </c>
    </row>
    <row r="19" spans="1:4" x14ac:dyDescent="0.2">
      <c r="A19" s="166" t="s">
        <v>113</v>
      </c>
      <c r="B19" s="166"/>
      <c r="C19" s="166"/>
      <c r="D19" s="166"/>
    </row>
    <row r="20" spans="1:4" ht="14.5" customHeight="1" x14ac:dyDescent="0.2">
      <c r="A20" s="91" t="s">
        <v>110</v>
      </c>
      <c r="B20" s="91" t="s">
        <v>109</v>
      </c>
      <c r="C20" s="91" t="s">
        <v>108</v>
      </c>
      <c r="D20" s="92" t="s">
        <v>107</v>
      </c>
    </row>
    <row r="21" spans="1:4" x14ac:dyDescent="0.2">
      <c r="A21" s="89">
        <v>1</v>
      </c>
      <c r="B21" s="90">
        <v>10000</v>
      </c>
      <c r="C21" s="88">
        <v>2000</v>
      </c>
      <c r="D21" s="87">
        <v>4000</v>
      </c>
    </row>
    <row r="22" spans="1:4" x14ac:dyDescent="0.2">
      <c r="A22" s="89">
        <v>2</v>
      </c>
      <c r="B22" s="87">
        <f>B21-C21</f>
        <v>8000</v>
      </c>
      <c r="C22" s="88">
        <v>2000</v>
      </c>
      <c r="D22" s="87">
        <f>B22-C22</f>
        <v>6000</v>
      </c>
    </row>
    <row r="23" spans="1:4" x14ac:dyDescent="0.2">
      <c r="A23" s="89">
        <v>3</v>
      </c>
      <c r="B23" s="87">
        <f>B22-C22</f>
        <v>6000</v>
      </c>
      <c r="C23" s="88">
        <v>2000</v>
      </c>
      <c r="D23" s="87">
        <f>B23-C23</f>
        <v>4000</v>
      </c>
    </row>
    <row r="24" spans="1:4" x14ac:dyDescent="0.2">
      <c r="A24" s="89">
        <v>4</v>
      </c>
      <c r="B24" s="87">
        <f>B23-C23</f>
        <v>4000</v>
      </c>
      <c r="C24" s="88">
        <v>2000</v>
      </c>
      <c r="D24" s="87">
        <f>B24-C24</f>
        <v>2000</v>
      </c>
    </row>
    <row r="25" spans="1:4" x14ac:dyDescent="0.2">
      <c r="A25" s="89">
        <v>5</v>
      </c>
      <c r="B25" s="87">
        <f>B24-C24</f>
        <v>2000</v>
      </c>
      <c r="C25" s="88">
        <v>2000</v>
      </c>
      <c r="D25" s="87">
        <f>B25-C25</f>
        <v>0</v>
      </c>
    </row>
    <row r="27" spans="1:4" x14ac:dyDescent="0.2">
      <c r="A27" s="166" t="s">
        <v>114</v>
      </c>
      <c r="B27" s="166"/>
      <c r="C27" s="166"/>
      <c r="D27" s="166"/>
    </row>
    <row r="28" spans="1:4" x14ac:dyDescent="0.2">
      <c r="A28" s="91" t="s">
        <v>110</v>
      </c>
      <c r="B28" s="91" t="s">
        <v>109</v>
      </c>
      <c r="C28" s="91" t="s">
        <v>108</v>
      </c>
      <c r="D28" s="92" t="s">
        <v>107</v>
      </c>
    </row>
    <row r="29" spans="1:4" x14ac:dyDescent="0.2">
      <c r="A29" s="89">
        <v>1</v>
      </c>
      <c r="B29" s="90">
        <f>9400+1000+300</f>
        <v>10700</v>
      </c>
      <c r="C29" s="88">
        <f>B29/5</f>
        <v>2140</v>
      </c>
      <c r="D29" s="87">
        <v>4000</v>
      </c>
    </row>
    <row r="30" spans="1:4" x14ac:dyDescent="0.2">
      <c r="A30" s="89">
        <v>2</v>
      </c>
      <c r="B30" s="87">
        <f>B29-C29</f>
        <v>8560</v>
      </c>
      <c r="C30" s="88">
        <v>2140</v>
      </c>
      <c r="D30" s="87">
        <f>B30-C30</f>
        <v>6420</v>
      </c>
    </row>
    <row r="31" spans="1:4" x14ac:dyDescent="0.2">
      <c r="A31" s="89">
        <v>3</v>
      </c>
      <c r="B31" s="87">
        <f>B30-C30</f>
        <v>6420</v>
      </c>
      <c r="C31" s="88">
        <v>2140</v>
      </c>
      <c r="D31" s="87">
        <f>B31-C31</f>
        <v>4280</v>
      </c>
    </row>
    <row r="32" spans="1:4" x14ac:dyDescent="0.2">
      <c r="A32" s="89">
        <v>4</v>
      </c>
      <c r="B32" s="87">
        <f>B31-C31</f>
        <v>4280</v>
      </c>
      <c r="C32" s="88">
        <v>2140</v>
      </c>
      <c r="D32" s="87">
        <f>B32-C32</f>
        <v>2140</v>
      </c>
    </row>
    <row r="33" spans="1:4" x14ac:dyDescent="0.2">
      <c r="A33" s="89">
        <v>5</v>
      </c>
      <c r="B33" s="87">
        <f>B32-C32</f>
        <v>2140</v>
      </c>
      <c r="C33" s="88">
        <v>2140</v>
      </c>
      <c r="D33" s="87">
        <f>B33-C33</f>
        <v>0</v>
      </c>
    </row>
  </sheetData>
  <mergeCells count="3">
    <mergeCell ref="A19:D19"/>
    <mergeCell ref="A27:D27"/>
    <mergeCell ref="A11:D1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6B7DF-0B51-4972-8610-D8532393AB49}">
  <dimension ref="A1:I30"/>
  <sheetViews>
    <sheetView workbookViewId="0">
      <selection activeCell="J18" sqref="J18"/>
    </sheetView>
  </sheetViews>
  <sheetFormatPr baseColWidth="10" defaultRowHeight="15" x14ac:dyDescent="0.2"/>
  <cols>
    <col min="1" max="1" width="29.33203125" customWidth="1"/>
    <col min="2" max="4" width="17.33203125" customWidth="1"/>
    <col min="6" max="6" width="29.83203125" customWidth="1"/>
    <col min="7" max="9" width="18.33203125" customWidth="1"/>
  </cols>
  <sheetData>
    <row r="1" spans="1:9" x14ac:dyDescent="0.2">
      <c r="A1" s="13" t="s">
        <v>121</v>
      </c>
      <c r="B1" s="14" t="s">
        <v>0</v>
      </c>
      <c r="C1" s="14" t="s">
        <v>1</v>
      </c>
      <c r="D1" s="15" t="s">
        <v>2</v>
      </c>
      <c r="F1" s="13" t="s">
        <v>122</v>
      </c>
      <c r="G1" s="14" t="s">
        <v>0</v>
      </c>
      <c r="H1" s="14" t="s">
        <v>1</v>
      </c>
      <c r="I1" s="15" t="s">
        <v>2</v>
      </c>
    </row>
    <row r="2" spans="1:9" x14ac:dyDescent="0.2">
      <c r="A2" s="16" t="s">
        <v>26</v>
      </c>
      <c r="B2" s="3">
        <f>+SUM(B3:B7)</f>
        <v>60279.921875</v>
      </c>
      <c r="C2" s="3">
        <f>+SUM(C3:C7)</f>
        <v>2890.494140625</v>
      </c>
      <c r="D2" s="17">
        <f>+SUM(D3:D7)</f>
        <v>4143.0416015625015</v>
      </c>
      <c r="F2" s="16" t="s">
        <v>26</v>
      </c>
      <c r="G2" s="3">
        <f>+SUM(G3:G7)</f>
        <v>60279.921875</v>
      </c>
      <c r="H2" s="3">
        <f>+SUM(H3:H7)</f>
        <v>2890.494140625</v>
      </c>
      <c r="I2" s="17">
        <f>+SUM(I3:I7)</f>
        <v>4143.0416015625015</v>
      </c>
    </row>
    <row r="3" spans="1:9" x14ac:dyDescent="0.2">
      <c r="A3" s="18" t="s">
        <v>118</v>
      </c>
      <c r="B3" s="5">
        <f>21740</f>
        <v>21740</v>
      </c>
      <c r="C3" s="5"/>
      <c r="D3" s="5"/>
      <c r="F3" s="18" t="s">
        <v>118</v>
      </c>
      <c r="G3" s="5">
        <f>21740</f>
        <v>21740</v>
      </c>
      <c r="H3" s="5"/>
      <c r="I3" s="5"/>
    </row>
    <row r="4" spans="1:9" x14ac:dyDescent="0.2">
      <c r="A4" s="18" t="s">
        <v>27</v>
      </c>
      <c r="B4" s="5">
        <v>38539.921875</v>
      </c>
      <c r="C4" s="5">
        <v>2890.494140625</v>
      </c>
      <c r="D4" s="19">
        <v>4143.0416015625015</v>
      </c>
      <c r="F4" s="18" t="s">
        <v>27</v>
      </c>
      <c r="G4" s="5">
        <v>38539.921875</v>
      </c>
      <c r="H4" s="5">
        <v>2890.494140625</v>
      </c>
      <c r="I4" s="19">
        <v>4143.0416015625015</v>
      </c>
    </row>
    <row r="5" spans="1:9" x14ac:dyDescent="0.2">
      <c r="A5" s="18" t="s">
        <v>28</v>
      </c>
      <c r="B5" s="5">
        <v>0</v>
      </c>
      <c r="C5" s="5">
        <v>0</v>
      </c>
      <c r="D5" s="5">
        <v>0</v>
      </c>
      <c r="F5" s="18" t="s">
        <v>28</v>
      </c>
      <c r="G5" s="5">
        <v>0</v>
      </c>
      <c r="H5" s="5">
        <v>0</v>
      </c>
      <c r="I5" s="5">
        <v>0</v>
      </c>
    </row>
    <row r="6" spans="1:9" x14ac:dyDescent="0.2">
      <c r="A6" s="18" t="s">
        <v>29</v>
      </c>
      <c r="B6" s="5">
        <v>0</v>
      </c>
      <c r="C6" s="5">
        <v>0</v>
      </c>
      <c r="D6" s="5">
        <v>0</v>
      </c>
      <c r="F6" s="18" t="s">
        <v>29</v>
      </c>
      <c r="G6" s="5">
        <v>0</v>
      </c>
      <c r="H6" s="5">
        <v>0</v>
      </c>
      <c r="I6" s="5">
        <v>0</v>
      </c>
    </row>
    <row r="7" spans="1:9" x14ac:dyDescent="0.2">
      <c r="A7" s="18" t="s">
        <v>40</v>
      </c>
      <c r="B7" s="5">
        <v>0</v>
      </c>
      <c r="C7" s="5">
        <v>0</v>
      </c>
      <c r="D7" s="5">
        <v>0</v>
      </c>
      <c r="F7" s="18" t="s">
        <v>40</v>
      </c>
      <c r="G7" s="5">
        <v>0</v>
      </c>
      <c r="H7" s="5">
        <v>0</v>
      </c>
      <c r="I7" s="5">
        <v>0</v>
      </c>
    </row>
    <row r="8" spans="1:9" x14ac:dyDescent="0.2">
      <c r="A8" s="16" t="s">
        <v>30</v>
      </c>
      <c r="B8" s="3">
        <v>47529</v>
      </c>
      <c r="C8" s="3">
        <v>28017</v>
      </c>
      <c r="D8" s="17">
        <v>26498</v>
      </c>
      <c r="F8" s="16" t="s">
        <v>30</v>
      </c>
      <c r="G8" s="3">
        <f>SUM(G9:G11)</f>
        <v>64250.045770799996</v>
      </c>
      <c r="H8" s="3">
        <f t="shared" ref="H8:I8" si="0">SUM(H9:H11)</f>
        <v>37506.733356009987</v>
      </c>
      <c r="I8" s="3">
        <f t="shared" si="0"/>
        <v>58654.28981589897</v>
      </c>
    </row>
    <row r="9" spans="1:9" x14ac:dyDescent="0.2">
      <c r="A9" s="18" t="s">
        <v>31</v>
      </c>
      <c r="B9" s="5">
        <f>B30</f>
        <v>24250.045770799996</v>
      </c>
      <c r="C9" s="5">
        <f t="shared" ref="C9:D9" si="1">C30</f>
        <v>37506.733356009987</v>
      </c>
      <c r="D9" s="5">
        <f t="shared" si="1"/>
        <v>58654.28981589897</v>
      </c>
      <c r="F9" s="18" t="s">
        <v>31</v>
      </c>
      <c r="G9" s="5">
        <f>B30</f>
        <v>24250.045770799996</v>
      </c>
      <c r="H9" s="5">
        <f t="shared" ref="H9:I9" si="2">C30</f>
        <v>37506.733356009987</v>
      </c>
      <c r="I9" s="5">
        <f t="shared" si="2"/>
        <v>58654.28981589897</v>
      </c>
    </row>
    <row r="10" spans="1:9" x14ac:dyDescent="0.2">
      <c r="A10" s="18" t="s">
        <v>90</v>
      </c>
      <c r="B10" s="5">
        <v>20000</v>
      </c>
      <c r="C10" s="5"/>
      <c r="D10" s="19"/>
      <c r="F10" s="18" t="s">
        <v>90</v>
      </c>
      <c r="G10" s="5">
        <v>40000</v>
      </c>
      <c r="H10" s="5"/>
      <c r="I10" s="19"/>
    </row>
    <row r="11" spans="1:9" x14ac:dyDescent="0.2">
      <c r="A11" s="18" t="s">
        <v>32</v>
      </c>
      <c r="B11" s="5">
        <v>0</v>
      </c>
      <c r="C11" s="5">
        <v>0</v>
      </c>
      <c r="D11" s="5">
        <v>0</v>
      </c>
      <c r="F11" s="18" t="s">
        <v>32</v>
      </c>
      <c r="G11" s="5">
        <v>0</v>
      </c>
      <c r="H11" s="5">
        <v>0</v>
      </c>
      <c r="I11" s="5">
        <v>0</v>
      </c>
    </row>
    <row r="12" spans="1:9" x14ac:dyDescent="0.2">
      <c r="A12" s="16" t="s">
        <v>33</v>
      </c>
      <c r="B12" s="3">
        <f>+B8-B2</f>
        <v>-12750.921875</v>
      </c>
      <c r="C12" s="3">
        <f>+C8-C2</f>
        <v>25126.505859375</v>
      </c>
      <c r="D12" s="17">
        <f>+D8-D2</f>
        <v>22354.958398437499</v>
      </c>
      <c r="F12" s="16" t="s">
        <v>33</v>
      </c>
      <c r="G12" s="3">
        <f>+G8-G2</f>
        <v>3970.1238957999958</v>
      </c>
      <c r="H12" s="3">
        <f>+H8-H2</f>
        <v>34616.239215384987</v>
      </c>
      <c r="I12" s="17">
        <f>+I8-I2</f>
        <v>54511.248214336469</v>
      </c>
    </row>
    <row r="13" spans="1:9" x14ac:dyDescent="0.2">
      <c r="A13" s="20" t="s">
        <v>123</v>
      </c>
      <c r="B13" s="6">
        <v>0</v>
      </c>
      <c r="C13" s="6">
        <f>B14</f>
        <v>-12750.921875</v>
      </c>
      <c r="D13" s="21">
        <f>C14</f>
        <v>12375.583984375</v>
      </c>
      <c r="F13" s="20" t="s">
        <v>123</v>
      </c>
      <c r="G13" s="6">
        <v>0</v>
      </c>
      <c r="H13" s="6">
        <f>G14</f>
        <v>3970.1238957999958</v>
      </c>
      <c r="I13" s="21">
        <f>H14</f>
        <v>38586.363111184983</v>
      </c>
    </row>
    <row r="14" spans="1:9" ht="16" thickBot="1" x14ac:dyDescent="0.25">
      <c r="A14" s="22" t="s">
        <v>124</v>
      </c>
      <c r="B14" s="23">
        <f>B13+B12</f>
        <v>-12750.921875</v>
      </c>
      <c r="C14" s="23">
        <f>C13+C12</f>
        <v>12375.583984375</v>
      </c>
      <c r="D14" s="24">
        <f>D13+D12</f>
        <v>34730.542382812499</v>
      </c>
      <c r="F14" s="22" t="s">
        <v>124</v>
      </c>
      <c r="G14" s="23">
        <f>G13+G12</f>
        <v>3970.1238957999958</v>
      </c>
      <c r="H14" s="23">
        <f>H13+H12</f>
        <v>38586.363111184983</v>
      </c>
      <c r="I14" s="24">
        <f>I13+I12</f>
        <v>93097.611325521459</v>
      </c>
    </row>
    <row r="16" spans="1:9" x14ac:dyDescent="0.2">
      <c r="A16" s="2" t="s">
        <v>36</v>
      </c>
      <c r="B16" s="2" t="s">
        <v>37</v>
      </c>
      <c r="C16" s="2" t="s">
        <v>1</v>
      </c>
      <c r="D16" s="2" t="s">
        <v>2</v>
      </c>
    </row>
    <row r="17" spans="1:9" ht="14.5" customHeight="1" x14ac:dyDescent="0.2">
      <c r="A17" s="1" t="s">
        <v>3</v>
      </c>
      <c r="B17" s="5">
        <v>308319.375</v>
      </c>
      <c r="C17" s="5">
        <v>331443.328125</v>
      </c>
      <c r="D17" s="5">
        <v>364587.66093750001</v>
      </c>
      <c r="F17" s="168" t="s">
        <v>182</v>
      </c>
      <c r="G17" s="168"/>
      <c r="H17" s="168"/>
      <c r="I17" s="168"/>
    </row>
    <row r="18" spans="1:9" x14ac:dyDescent="0.2">
      <c r="A18" s="1" t="s">
        <v>38</v>
      </c>
      <c r="B18" s="5">
        <f>(B24/360)*45</f>
        <v>38539.921875</v>
      </c>
      <c r="C18" s="5">
        <f>(C24/360)*45</f>
        <v>41430.416015625</v>
      </c>
      <c r="D18" s="5">
        <f>(D24/360)*45</f>
        <v>45573.457617187501</v>
      </c>
      <c r="F18" s="168"/>
      <c r="G18" s="168"/>
      <c r="H18" s="168"/>
      <c r="I18" s="168"/>
    </row>
    <row r="19" spans="1:9" x14ac:dyDescent="0.2">
      <c r="A19" s="8" t="s">
        <v>39</v>
      </c>
      <c r="B19" s="7">
        <f>B18</f>
        <v>38539.921875</v>
      </c>
      <c r="C19" s="7">
        <f>C18-B18</f>
        <v>2890.494140625</v>
      </c>
      <c r="D19" s="7">
        <f>D18-C18</f>
        <v>4143.0416015625015</v>
      </c>
      <c r="F19" s="168"/>
      <c r="G19" s="168"/>
      <c r="H19" s="168"/>
      <c r="I19" s="168"/>
    </row>
    <row r="20" spans="1:9" x14ac:dyDescent="0.2">
      <c r="F20" s="168"/>
      <c r="G20" s="168"/>
      <c r="H20" s="168"/>
      <c r="I20" s="168"/>
    </row>
    <row r="21" spans="1:9" x14ac:dyDescent="0.2">
      <c r="A21" s="2" t="s">
        <v>4</v>
      </c>
      <c r="B21" s="2" t="s">
        <v>0</v>
      </c>
      <c r="C21" s="2" t="s">
        <v>1</v>
      </c>
      <c r="D21" s="2" t="s">
        <v>2</v>
      </c>
      <c r="F21" s="168"/>
      <c r="G21" s="168"/>
      <c r="H21" s="168"/>
      <c r="I21" s="168"/>
    </row>
    <row r="22" spans="1:9" ht="14.5" customHeight="1" x14ac:dyDescent="0.2">
      <c r="A22" s="1" t="s">
        <v>66</v>
      </c>
      <c r="B22" s="5">
        <v>293637.5</v>
      </c>
      <c r="C22" s="5">
        <v>293637.5</v>
      </c>
      <c r="D22" s="5">
        <v>293637.5</v>
      </c>
      <c r="F22" s="168"/>
      <c r="G22" s="168"/>
      <c r="H22" s="168"/>
      <c r="I22" s="168"/>
    </row>
    <row r="23" spans="1:9" x14ac:dyDescent="0.2">
      <c r="A23" s="1" t="s">
        <v>67</v>
      </c>
      <c r="B23" s="10">
        <v>0.05</v>
      </c>
      <c r="C23" s="78">
        <v>7.4999999999999997E-2</v>
      </c>
      <c r="D23" s="10">
        <v>0.1</v>
      </c>
      <c r="F23" s="168"/>
      <c r="G23" s="168"/>
      <c r="H23" s="168"/>
      <c r="I23" s="168"/>
    </row>
    <row r="24" spans="1:9" x14ac:dyDescent="0.2">
      <c r="A24" s="8" t="s">
        <v>3</v>
      </c>
      <c r="B24" s="7">
        <f>B22*1.05</f>
        <v>308319.375</v>
      </c>
      <c r="C24" s="7">
        <f>B24*1.075</f>
        <v>331443.328125</v>
      </c>
      <c r="D24" s="7">
        <f>C24*1.1</f>
        <v>364587.66093750001</v>
      </c>
      <c r="F24" s="168"/>
      <c r="G24" s="168"/>
      <c r="H24" s="168"/>
      <c r="I24" s="168"/>
    </row>
    <row r="25" spans="1:9" x14ac:dyDescent="0.2">
      <c r="F25" s="168"/>
      <c r="G25" s="168"/>
      <c r="H25" s="168"/>
      <c r="I25" s="168"/>
    </row>
    <row r="26" spans="1:9" x14ac:dyDescent="0.2">
      <c r="A26" s="4" t="s">
        <v>120</v>
      </c>
      <c r="B26" s="4" t="s">
        <v>37</v>
      </c>
      <c r="C26" s="4" t="s">
        <v>1</v>
      </c>
      <c r="D26" s="4" t="s">
        <v>2</v>
      </c>
      <c r="F26" s="168"/>
      <c r="G26" s="168"/>
      <c r="H26" s="168"/>
      <c r="I26" s="168"/>
    </row>
    <row r="27" spans="1:9" x14ac:dyDescent="0.2">
      <c r="A27" s="5" t="s">
        <v>12</v>
      </c>
      <c r="B27" s="5">
        <f>'Compte de résultat'!C18</f>
        <v>32638.727694399997</v>
      </c>
      <c r="C27" s="5">
        <f>'Compte de résultat'!D18</f>
        <v>47076.769474679983</v>
      </c>
      <c r="D27" s="5">
        <f>'Compte de résultat'!E18</f>
        <v>69980.507254531971</v>
      </c>
    </row>
    <row r="28" spans="1:9" x14ac:dyDescent="0.2">
      <c r="A28" s="5" t="s">
        <v>14</v>
      </c>
      <c r="B28" s="101">
        <v>8388.681923600001</v>
      </c>
      <c r="C28" s="101">
        <v>9570.0361186699956</v>
      </c>
      <c r="D28" s="101">
        <v>11326.217438632997</v>
      </c>
    </row>
    <row r="29" spans="1:9" x14ac:dyDescent="0.2">
      <c r="A29" s="102" t="s">
        <v>119</v>
      </c>
      <c r="B29" s="5">
        <v>0</v>
      </c>
      <c r="C29" s="5">
        <v>0</v>
      </c>
      <c r="D29" s="5">
        <v>0</v>
      </c>
    </row>
    <row r="30" spans="1:9" x14ac:dyDescent="0.2">
      <c r="A30" s="7" t="s">
        <v>31</v>
      </c>
      <c r="B30" s="7">
        <f>B27-(B28+B29)</f>
        <v>24250.045770799996</v>
      </c>
      <c r="C30" s="7">
        <f t="shared" ref="C30" si="3">C27-(C28+C29)</f>
        <v>37506.733356009987</v>
      </c>
      <c r="D30" s="7">
        <f>D27-(D28+D29)</f>
        <v>58654.28981589897</v>
      </c>
    </row>
  </sheetData>
  <mergeCells count="1">
    <mergeCell ref="F17:I2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14E8C-4D1D-41E2-A765-43D7842B12C5}">
  <dimension ref="A1:AN66"/>
  <sheetViews>
    <sheetView zoomScale="85" zoomScaleNormal="85" workbookViewId="0">
      <selection activeCell="C7" sqref="C7"/>
    </sheetView>
  </sheetViews>
  <sheetFormatPr baseColWidth="10" defaultRowHeight="15" x14ac:dyDescent="0.2"/>
  <cols>
    <col min="1" max="1" width="34" customWidth="1"/>
    <col min="2" max="2" width="15.33203125" customWidth="1"/>
    <col min="3" max="4" width="12.1640625" bestFit="1" customWidth="1"/>
    <col min="5" max="6" width="11.83203125" bestFit="1" customWidth="1"/>
    <col min="7" max="7" width="12.1640625" bestFit="1" customWidth="1"/>
    <col min="8" max="8" width="16.1640625" customWidth="1"/>
    <col min="9" max="9" width="16.5" customWidth="1"/>
    <col min="10" max="10" width="15.33203125" customWidth="1"/>
    <col min="11" max="11" width="13.1640625" bestFit="1" customWidth="1"/>
    <col min="12" max="12" width="17.1640625" customWidth="1"/>
    <col min="13" max="13" width="16.83203125" customWidth="1"/>
    <col min="14" max="14" width="12.5" bestFit="1" customWidth="1"/>
    <col min="15" max="15" width="38.5" customWidth="1"/>
    <col min="17" max="17" width="23.1640625" customWidth="1"/>
    <col min="28" max="28" width="21.33203125" bestFit="1" customWidth="1"/>
  </cols>
  <sheetData>
    <row r="1" spans="1:19" ht="19" x14ac:dyDescent="0.25">
      <c r="A1" s="147" t="s">
        <v>0</v>
      </c>
      <c r="B1" s="93" t="s">
        <v>48</v>
      </c>
      <c r="C1" s="93" t="s">
        <v>141</v>
      </c>
      <c r="D1" s="93" t="s">
        <v>140</v>
      </c>
      <c r="E1" s="93" t="s">
        <v>139</v>
      </c>
      <c r="F1" s="93" t="s">
        <v>138</v>
      </c>
      <c r="G1" s="93" t="s">
        <v>137</v>
      </c>
      <c r="H1" s="93" t="s">
        <v>136</v>
      </c>
      <c r="I1" s="93" t="s">
        <v>135</v>
      </c>
      <c r="J1" s="93" t="s">
        <v>134</v>
      </c>
      <c r="K1" s="93" t="s">
        <v>133</v>
      </c>
      <c r="L1" s="93" t="s">
        <v>132</v>
      </c>
      <c r="M1" s="93" t="s">
        <v>131</v>
      </c>
      <c r="O1" s="146" t="s">
        <v>166</v>
      </c>
    </row>
    <row r="2" spans="1:19" x14ac:dyDescent="0.2">
      <c r="A2" s="145" t="s">
        <v>165</v>
      </c>
      <c r="B2" s="144"/>
      <c r="C2" s="144"/>
      <c r="D2" s="144"/>
      <c r="E2" s="144"/>
      <c r="F2" s="144"/>
      <c r="G2" s="144"/>
      <c r="H2" s="144"/>
      <c r="I2" s="144"/>
      <c r="J2" s="144"/>
      <c r="K2" s="144"/>
      <c r="L2" s="144"/>
      <c r="M2" s="144"/>
      <c r="O2" t="s">
        <v>168</v>
      </c>
    </row>
    <row r="3" spans="1:19" x14ac:dyDescent="0.2">
      <c r="A3" s="136" t="s">
        <v>92</v>
      </c>
      <c r="B3" s="143">
        <f>308319/10</f>
        <v>30831.9</v>
      </c>
      <c r="C3" s="143">
        <f t="shared" ref="C3:M3" si="0">308319/10</f>
        <v>30831.9</v>
      </c>
      <c r="D3" s="143">
        <f t="shared" si="0"/>
        <v>30831.9</v>
      </c>
      <c r="E3" s="143">
        <f t="shared" si="0"/>
        <v>30831.9</v>
      </c>
      <c r="F3" s="143">
        <f t="shared" si="0"/>
        <v>30831.9</v>
      </c>
      <c r="G3" s="143">
        <f t="shared" si="0"/>
        <v>30831.9</v>
      </c>
      <c r="H3" s="143"/>
      <c r="I3" s="143"/>
      <c r="J3" s="143">
        <f t="shared" si="0"/>
        <v>30831.9</v>
      </c>
      <c r="K3" s="143">
        <f t="shared" si="0"/>
        <v>30831.9</v>
      </c>
      <c r="L3" s="143">
        <f t="shared" si="0"/>
        <v>30831.9</v>
      </c>
      <c r="M3" s="143">
        <f t="shared" si="0"/>
        <v>30831.9</v>
      </c>
      <c r="N3" s="111"/>
      <c r="O3" t="s">
        <v>169</v>
      </c>
    </row>
    <row r="4" spans="1:19" x14ac:dyDescent="0.2">
      <c r="A4" s="131" t="s">
        <v>167</v>
      </c>
      <c r="B4" s="132">
        <f>40000</f>
        <v>40000</v>
      </c>
      <c r="C4" s="127"/>
      <c r="D4" s="127"/>
      <c r="E4" s="127"/>
      <c r="F4" s="127"/>
      <c r="G4" s="127"/>
      <c r="H4" s="127"/>
      <c r="I4" s="127"/>
      <c r="J4" s="127"/>
      <c r="K4" s="127"/>
      <c r="L4" s="127"/>
      <c r="N4" s="142"/>
      <c r="S4" s="114"/>
    </row>
    <row r="5" spans="1:19" x14ac:dyDescent="0.2">
      <c r="A5" s="141" t="s">
        <v>164</v>
      </c>
      <c r="B5" s="140">
        <f t="shared" ref="B5:M5" si="1">B35</f>
        <v>3083.1900000000005</v>
      </c>
      <c r="C5" s="125">
        <f t="shared" si="1"/>
        <v>3083.1900000000005</v>
      </c>
      <c r="D5" s="125">
        <f t="shared" si="1"/>
        <v>3083.1900000000005</v>
      </c>
      <c r="E5" s="125">
        <f t="shared" si="1"/>
        <v>3083.1900000000005</v>
      </c>
      <c r="F5" s="125">
        <f t="shared" si="1"/>
        <v>3083.1900000000005</v>
      </c>
      <c r="G5" s="125">
        <f t="shared" si="1"/>
        <v>3083.1900000000005</v>
      </c>
      <c r="H5" s="125">
        <f t="shared" si="1"/>
        <v>0</v>
      </c>
      <c r="I5" s="125">
        <f t="shared" si="1"/>
        <v>0</v>
      </c>
      <c r="J5" s="125">
        <f t="shared" si="1"/>
        <v>3083.1900000000005</v>
      </c>
      <c r="K5" s="125">
        <f t="shared" si="1"/>
        <v>3083.1900000000005</v>
      </c>
      <c r="L5" s="125">
        <f t="shared" si="1"/>
        <v>3083.1900000000005</v>
      </c>
      <c r="M5" s="125">
        <f t="shared" si="1"/>
        <v>3083.1900000000005</v>
      </c>
      <c r="N5" s="111"/>
      <c r="O5" s="111"/>
      <c r="S5" s="114"/>
    </row>
    <row r="6" spans="1:19" x14ac:dyDescent="0.2">
      <c r="A6" s="139" t="s">
        <v>163</v>
      </c>
      <c r="B6" s="138"/>
      <c r="C6" s="138"/>
      <c r="D6" s="138"/>
      <c r="E6" s="138"/>
      <c r="F6" s="138"/>
      <c r="G6" s="138"/>
      <c r="H6" s="138"/>
      <c r="I6" s="138"/>
      <c r="J6" s="138"/>
      <c r="K6" s="138"/>
      <c r="L6" s="138"/>
      <c r="M6" s="137"/>
      <c r="N6" s="111"/>
      <c r="Q6" s="114"/>
    </row>
    <row r="7" spans="1:19" x14ac:dyDescent="0.2">
      <c r="A7" s="136" t="s">
        <v>162</v>
      </c>
      <c r="B7" s="135"/>
      <c r="C7" s="134">
        <f>189735/10</f>
        <v>18973.5</v>
      </c>
      <c r="D7" s="134">
        <f t="shared" ref="D7:M7" si="2">189735/10</f>
        <v>18973.5</v>
      </c>
      <c r="E7" s="134">
        <f t="shared" si="2"/>
        <v>18973.5</v>
      </c>
      <c r="F7" s="134">
        <f t="shared" si="2"/>
        <v>18973.5</v>
      </c>
      <c r="G7" s="134">
        <f t="shared" si="2"/>
        <v>18973.5</v>
      </c>
      <c r="H7" s="134">
        <f t="shared" si="2"/>
        <v>18973.5</v>
      </c>
      <c r="I7" s="134"/>
      <c r="J7" s="134"/>
      <c r="K7" s="134">
        <f t="shared" si="2"/>
        <v>18973.5</v>
      </c>
      <c r="L7" s="134">
        <f t="shared" si="2"/>
        <v>18973.5</v>
      </c>
      <c r="M7" s="134">
        <f t="shared" si="2"/>
        <v>18973.5</v>
      </c>
      <c r="N7" s="133"/>
      <c r="Q7" s="114"/>
    </row>
    <row r="8" spans="1:19" x14ac:dyDescent="0.2">
      <c r="A8" s="131" t="s">
        <v>161</v>
      </c>
      <c r="B8" s="132">
        <f>21740</f>
        <v>21740</v>
      </c>
      <c r="C8" s="127"/>
      <c r="D8" s="127"/>
      <c r="E8" s="127"/>
      <c r="F8" s="127"/>
      <c r="G8" s="127"/>
      <c r="H8" s="127"/>
      <c r="I8" s="127"/>
      <c r="J8" s="127"/>
      <c r="K8" s="127"/>
      <c r="L8" s="127"/>
      <c r="M8" s="127"/>
      <c r="N8" s="133"/>
      <c r="Q8" s="114"/>
    </row>
    <row r="9" spans="1:19" x14ac:dyDescent="0.2">
      <c r="A9" s="131" t="s">
        <v>160</v>
      </c>
      <c r="B9" s="132">
        <f>'Compte de résultat'!C71</f>
        <v>1304.522496</v>
      </c>
      <c r="C9" s="132">
        <f>B9</f>
        <v>1304.522496</v>
      </c>
      <c r="D9" s="132">
        <f t="shared" ref="D9:M9" si="3">C9</f>
        <v>1304.522496</v>
      </c>
      <c r="E9" s="132">
        <f t="shared" si="3"/>
        <v>1304.522496</v>
      </c>
      <c r="F9" s="132">
        <f t="shared" si="3"/>
        <v>1304.522496</v>
      </c>
      <c r="G9" s="132">
        <f t="shared" si="3"/>
        <v>1304.522496</v>
      </c>
      <c r="H9" s="132"/>
      <c r="I9" s="132"/>
      <c r="J9" s="132">
        <f>G9</f>
        <v>1304.522496</v>
      </c>
      <c r="K9" s="132">
        <f t="shared" si="3"/>
        <v>1304.522496</v>
      </c>
      <c r="L9" s="132">
        <f t="shared" si="3"/>
        <v>1304.522496</v>
      </c>
      <c r="M9" s="132">
        <f t="shared" si="3"/>
        <v>1304.522496</v>
      </c>
      <c r="Q9" s="114"/>
    </row>
    <row r="10" spans="1:19" x14ac:dyDescent="0.2">
      <c r="A10" s="131" t="s">
        <v>159</v>
      </c>
      <c r="B10" s="132">
        <f>B9*0.28</f>
        <v>365.26629888000002</v>
      </c>
      <c r="C10" s="132">
        <f t="shared" ref="C10:M10" si="4">C9*0.28</f>
        <v>365.26629888000002</v>
      </c>
      <c r="D10" s="132">
        <f t="shared" si="4"/>
        <v>365.26629888000002</v>
      </c>
      <c r="E10" s="132">
        <f t="shared" si="4"/>
        <v>365.26629888000002</v>
      </c>
      <c r="F10" s="132">
        <f t="shared" si="4"/>
        <v>365.26629888000002</v>
      </c>
      <c r="G10" s="132">
        <f t="shared" si="4"/>
        <v>365.26629888000002</v>
      </c>
      <c r="H10" s="132"/>
      <c r="I10" s="132"/>
      <c r="J10" s="132">
        <f t="shared" si="4"/>
        <v>365.26629888000002</v>
      </c>
      <c r="K10" s="132">
        <f t="shared" si="4"/>
        <v>365.26629888000002</v>
      </c>
      <c r="L10" s="132">
        <f t="shared" si="4"/>
        <v>365.26629888000002</v>
      </c>
      <c r="M10" s="132">
        <f t="shared" si="4"/>
        <v>365.26629888000002</v>
      </c>
      <c r="Q10" s="122"/>
    </row>
    <row r="11" spans="1:19" x14ac:dyDescent="0.2">
      <c r="A11" s="131" t="s">
        <v>158</v>
      </c>
      <c r="B11" s="132">
        <f>B9*0.4</f>
        <v>521.80899840000006</v>
      </c>
      <c r="C11" s="132">
        <f t="shared" ref="C11:M11" si="5">C9*0.4</f>
        <v>521.80899840000006</v>
      </c>
      <c r="D11" s="132">
        <f t="shared" si="5"/>
        <v>521.80899840000006</v>
      </c>
      <c r="E11" s="132">
        <f t="shared" si="5"/>
        <v>521.80899840000006</v>
      </c>
      <c r="F11" s="132">
        <f t="shared" si="5"/>
        <v>521.80899840000006</v>
      </c>
      <c r="G11" s="132">
        <f t="shared" si="5"/>
        <v>521.80899840000006</v>
      </c>
      <c r="H11" s="132"/>
      <c r="I11" s="132"/>
      <c r="J11" s="132">
        <f t="shared" si="5"/>
        <v>521.80899840000006</v>
      </c>
      <c r="K11" s="132">
        <f t="shared" si="5"/>
        <v>521.80899840000006</v>
      </c>
      <c r="L11" s="132">
        <f t="shared" si="5"/>
        <v>521.80899840000006</v>
      </c>
      <c r="M11" s="132">
        <f t="shared" si="5"/>
        <v>521.80899840000006</v>
      </c>
      <c r="Q11" s="122"/>
    </row>
    <row r="12" spans="1:19" x14ac:dyDescent="0.2">
      <c r="A12" s="131" t="s">
        <v>157</v>
      </c>
      <c r="B12" s="132"/>
      <c r="C12" s="127"/>
      <c r="D12" s="127"/>
      <c r="E12" s="127"/>
      <c r="F12" s="127"/>
      <c r="G12" s="127"/>
      <c r="H12" s="127"/>
      <c r="I12" s="127"/>
      <c r="J12" s="127"/>
      <c r="K12" s="127"/>
      <c r="L12" s="127"/>
      <c r="M12" s="127"/>
      <c r="Q12" s="122"/>
    </row>
    <row r="13" spans="1:19" x14ac:dyDescent="0.2">
      <c r="A13" s="131" t="s">
        <v>156</v>
      </c>
      <c r="B13" s="132"/>
      <c r="C13" s="127"/>
      <c r="D13" s="127"/>
      <c r="E13" s="127"/>
      <c r="F13" s="127"/>
      <c r="G13" s="127"/>
      <c r="H13" s="127"/>
      <c r="I13" s="127"/>
      <c r="J13" s="127"/>
      <c r="K13" s="127"/>
      <c r="L13" s="127"/>
      <c r="M13" s="127"/>
      <c r="Q13" s="122"/>
    </row>
    <row r="14" spans="1:19" x14ac:dyDescent="0.2">
      <c r="A14" s="131" t="s">
        <v>155</v>
      </c>
      <c r="B14" s="127"/>
      <c r="C14" s="127"/>
      <c r="D14" s="127"/>
      <c r="E14" s="127"/>
      <c r="F14" s="127"/>
      <c r="G14" s="127"/>
      <c r="H14" s="127"/>
      <c r="I14" s="127"/>
      <c r="J14" s="127"/>
      <c r="K14" s="127"/>
      <c r="L14" s="127"/>
      <c r="M14" s="127"/>
      <c r="Q14" s="114"/>
    </row>
    <row r="15" spans="1:19" x14ac:dyDescent="0.2">
      <c r="A15" s="130" t="s">
        <v>154</v>
      </c>
      <c r="B15" s="127"/>
      <c r="C15" s="127"/>
      <c r="D15" s="127"/>
      <c r="E15" s="127"/>
      <c r="F15" s="127"/>
      <c r="G15" s="127"/>
      <c r="H15" s="127"/>
      <c r="I15" s="127"/>
      <c r="J15" s="127"/>
      <c r="K15" s="127"/>
      <c r="L15" s="127"/>
      <c r="M15" s="127"/>
      <c r="Q15" s="114"/>
    </row>
    <row r="16" spans="1:19" x14ac:dyDescent="0.2">
      <c r="A16" s="129" t="s">
        <v>153</v>
      </c>
      <c r="B16" s="127">
        <f>'Compte de résultat'!C10/10</f>
        <v>42.642600000000009</v>
      </c>
      <c r="C16" s="127">
        <f>B16</f>
        <v>42.642600000000009</v>
      </c>
      <c r="D16" s="127">
        <f t="shared" ref="D16:M16" si="6">C16</f>
        <v>42.642600000000009</v>
      </c>
      <c r="E16" s="127">
        <f t="shared" si="6"/>
        <v>42.642600000000009</v>
      </c>
      <c r="F16" s="127">
        <f t="shared" si="6"/>
        <v>42.642600000000009</v>
      </c>
      <c r="G16" s="127">
        <f t="shared" si="6"/>
        <v>42.642600000000009</v>
      </c>
      <c r="H16" s="127"/>
      <c r="I16" s="127"/>
      <c r="J16" s="127">
        <f>G16</f>
        <v>42.642600000000009</v>
      </c>
      <c r="K16" s="127">
        <f t="shared" si="6"/>
        <v>42.642600000000009</v>
      </c>
      <c r="L16" s="127">
        <f t="shared" si="6"/>
        <v>42.642600000000009</v>
      </c>
      <c r="M16" s="127">
        <f t="shared" si="6"/>
        <v>42.642600000000009</v>
      </c>
      <c r="Q16" s="114"/>
    </row>
    <row r="17" spans="1:29" x14ac:dyDescent="0.2">
      <c r="A17" s="129" t="s">
        <v>152</v>
      </c>
      <c r="B17" s="127">
        <f>'Compte de résultat'!C7/10</f>
        <v>4021.0363065600004</v>
      </c>
      <c r="C17" s="127">
        <f>B17</f>
        <v>4021.0363065600004</v>
      </c>
      <c r="D17" s="127">
        <f t="shared" ref="D17:M17" si="7">C17</f>
        <v>4021.0363065600004</v>
      </c>
      <c r="E17" s="127">
        <f t="shared" si="7"/>
        <v>4021.0363065600004</v>
      </c>
      <c r="F17" s="127">
        <f t="shared" si="7"/>
        <v>4021.0363065600004</v>
      </c>
      <c r="G17" s="127">
        <f t="shared" si="7"/>
        <v>4021.0363065600004</v>
      </c>
      <c r="H17" s="127"/>
      <c r="I17" s="127">
        <f t="shared" si="7"/>
        <v>0</v>
      </c>
      <c r="J17" s="127">
        <f>G17</f>
        <v>4021.0363065600004</v>
      </c>
      <c r="K17" s="127">
        <f t="shared" si="7"/>
        <v>4021.0363065600004</v>
      </c>
      <c r="L17" s="127">
        <f t="shared" si="7"/>
        <v>4021.0363065600004</v>
      </c>
      <c r="M17" s="127">
        <f t="shared" si="7"/>
        <v>4021.0363065600004</v>
      </c>
      <c r="Q17" s="114"/>
    </row>
    <row r="18" spans="1:29" x14ac:dyDescent="0.2">
      <c r="A18" s="129" t="s">
        <v>151</v>
      </c>
      <c r="B18" s="127">
        <f>'Compte de résultat'!C9/12</f>
        <v>200</v>
      </c>
      <c r="C18" s="127">
        <f>B18</f>
        <v>200</v>
      </c>
      <c r="D18" s="127">
        <f t="shared" ref="D18:M18" si="8">C18</f>
        <v>200</v>
      </c>
      <c r="E18" s="127">
        <f t="shared" si="8"/>
        <v>200</v>
      </c>
      <c r="F18" s="127">
        <f t="shared" si="8"/>
        <v>200</v>
      </c>
      <c r="G18" s="127">
        <f t="shared" si="8"/>
        <v>200</v>
      </c>
      <c r="H18" s="127">
        <f t="shared" si="8"/>
        <v>200</v>
      </c>
      <c r="I18" s="127">
        <f t="shared" si="8"/>
        <v>200</v>
      </c>
      <c r="J18" s="127">
        <f t="shared" si="8"/>
        <v>200</v>
      </c>
      <c r="K18" s="127">
        <f t="shared" si="8"/>
        <v>200</v>
      </c>
      <c r="L18" s="127">
        <f t="shared" si="8"/>
        <v>200</v>
      </c>
      <c r="M18" s="127">
        <f t="shared" si="8"/>
        <v>200</v>
      </c>
      <c r="Q18" s="114"/>
    </row>
    <row r="19" spans="1:29" x14ac:dyDescent="0.2">
      <c r="A19" s="129" t="s">
        <v>150</v>
      </c>
      <c r="B19" s="127">
        <f>'Compte de résultat'!C12/10</f>
        <v>500</v>
      </c>
      <c r="C19" s="127">
        <f>B19</f>
        <v>500</v>
      </c>
      <c r="D19" s="127">
        <f t="shared" ref="D19:M19" si="9">C19</f>
        <v>500</v>
      </c>
      <c r="E19" s="127">
        <f t="shared" si="9"/>
        <v>500</v>
      </c>
      <c r="F19" s="127">
        <f t="shared" si="9"/>
        <v>500</v>
      </c>
      <c r="G19" s="127">
        <f t="shared" si="9"/>
        <v>500</v>
      </c>
      <c r="H19" s="127"/>
      <c r="I19" s="127"/>
      <c r="J19" s="127">
        <f>G19</f>
        <v>500</v>
      </c>
      <c r="K19" s="127">
        <f t="shared" si="9"/>
        <v>500</v>
      </c>
      <c r="L19" s="127">
        <f t="shared" si="9"/>
        <v>500</v>
      </c>
      <c r="M19" s="127">
        <f t="shared" si="9"/>
        <v>500</v>
      </c>
      <c r="Q19" s="114"/>
    </row>
    <row r="20" spans="1:29" x14ac:dyDescent="0.2">
      <c r="A20" s="129" t="s">
        <v>149</v>
      </c>
      <c r="B20" s="127">
        <f>'Compte de résultat'!C10</f>
        <v>426.4260000000001</v>
      </c>
      <c r="C20" s="127">
        <f>B20</f>
        <v>426.4260000000001</v>
      </c>
      <c r="D20" s="127">
        <f t="shared" ref="D20:M20" si="10">C20</f>
        <v>426.4260000000001</v>
      </c>
      <c r="E20" s="127">
        <f t="shared" si="10"/>
        <v>426.4260000000001</v>
      </c>
      <c r="F20" s="127">
        <f t="shared" si="10"/>
        <v>426.4260000000001</v>
      </c>
      <c r="G20" s="127">
        <f t="shared" si="10"/>
        <v>426.4260000000001</v>
      </c>
      <c r="H20" s="127">
        <f t="shared" si="10"/>
        <v>426.4260000000001</v>
      </c>
      <c r="I20" s="127">
        <f t="shared" si="10"/>
        <v>426.4260000000001</v>
      </c>
      <c r="J20" s="127">
        <f t="shared" si="10"/>
        <v>426.4260000000001</v>
      </c>
      <c r="K20" s="127">
        <f t="shared" si="10"/>
        <v>426.4260000000001</v>
      </c>
      <c r="L20" s="127">
        <f t="shared" si="10"/>
        <v>426.4260000000001</v>
      </c>
      <c r="M20" s="127">
        <f t="shared" si="10"/>
        <v>426.4260000000001</v>
      </c>
      <c r="Q20" s="114"/>
    </row>
    <row r="21" spans="1:29" x14ac:dyDescent="0.2">
      <c r="A21" s="128" t="s">
        <v>13</v>
      </c>
      <c r="B21" s="127"/>
      <c r="C21" s="127"/>
      <c r="D21" s="127"/>
      <c r="E21" s="127"/>
      <c r="F21" s="127"/>
      <c r="G21" s="127"/>
      <c r="H21" s="127"/>
      <c r="I21" s="127"/>
      <c r="J21" s="127"/>
      <c r="K21" s="127"/>
      <c r="L21" s="127"/>
      <c r="M21" s="127"/>
      <c r="Q21" s="114"/>
    </row>
    <row r="22" spans="1:29" x14ac:dyDescent="0.2">
      <c r="A22" s="128" t="s">
        <v>148</v>
      </c>
      <c r="B22" s="127">
        <f t="shared" ref="B22:M22" si="11">B36</f>
        <v>0</v>
      </c>
      <c r="C22" s="127">
        <f t="shared" si="11"/>
        <v>1897.3500000000001</v>
      </c>
      <c r="D22" s="127">
        <f t="shared" si="11"/>
        <v>1897.3500000000001</v>
      </c>
      <c r="E22" s="127">
        <f t="shared" si="11"/>
        <v>1897.3500000000001</v>
      </c>
      <c r="F22" s="127">
        <f t="shared" si="11"/>
        <v>1897.3500000000001</v>
      </c>
      <c r="G22" s="127">
        <f t="shared" si="11"/>
        <v>1897.3500000000001</v>
      </c>
      <c r="H22" s="127">
        <f t="shared" si="11"/>
        <v>1897.3500000000001</v>
      </c>
      <c r="I22" s="127">
        <f t="shared" si="11"/>
        <v>0</v>
      </c>
      <c r="J22" s="127">
        <f t="shared" si="11"/>
        <v>0</v>
      </c>
      <c r="K22" s="127">
        <f t="shared" si="11"/>
        <v>1897.3500000000001</v>
      </c>
      <c r="L22" s="127">
        <f t="shared" si="11"/>
        <v>1897.3500000000001</v>
      </c>
      <c r="M22" s="127">
        <f t="shared" si="11"/>
        <v>1897.3500000000001</v>
      </c>
    </row>
    <row r="23" spans="1:29" x14ac:dyDescent="0.2">
      <c r="A23" s="126" t="s">
        <v>147</v>
      </c>
      <c r="B23" s="125">
        <f t="shared" ref="B23:M23" si="12">B37</f>
        <v>4348</v>
      </c>
      <c r="C23" s="125">
        <f t="shared" si="12"/>
        <v>0</v>
      </c>
      <c r="D23" s="125">
        <f t="shared" si="12"/>
        <v>0</v>
      </c>
      <c r="E23" s="125">
        <f t="shared" si="12"/>
        <v>0</v>
      </c>
      <c r="F23" s="125">
        <f t="shared" si="12"/>
        <v>0</v>
      </c>
      <c r="G23" s="125">
        <f t="shared" si="12"/>
        <v>0</v>
      </c>
      <c r="H23" s="125">
        <f t="shared" si="12"/>
        <v>0</v>
      </c>
      <c r="I23" s="125">
        <f t="shared" si="12"/>
        <v>0</v>
      </c>
      <c r="J23" s="125">
        <f t="shared" si="12"/>
        <v>0</v>
      </c>
      <c r="K23" s="125">
        <f t="shared" si="12"/>
        <v>0</v>
      </c>
      <c r="L23" s="125">
        <f t="shared" si="12"/>
        <v>0</v>
      </c>
      <c r="M23" s="125">
        <f t="shared" si="12"/>
        <v>0</v>
      </c>
      <c r="Q23" s="12"/>
      <c r="R23" s="12"/>
      <c r="S23" s="12"/>
      <c r="T23" s="12"/>
      <c r="U23" s="12"/>
      <c r="V23" s="12"/>
      <c r="W23" s="12"/>
      <c r="X23" s="12"/>
      <c r="Y23" s="12"/>
      <c r="Z23" s="12"/>
      <c r="AA23" s="12"/>
      <c r="AB23" s="12"/>
      <c r="AC23" s="12"/>
    </row>
    <row r="24" spans="1:29" x14ac:dyDescent="0.2">
      <c r="A24" s="124" t="s">
        <v>146</v>
      </c>
      <c r="B24" s="123"/>
      <c r="C24" s="123"/>
      <c r="D24" s="123"/>
      <c r="E24" s="123"/>
      <c r="F24" s="123"/>
      <c r="G24" s="123"/>
      <c r="H24" s="123"/>
      <c r="I24" s="123"/>
      <c r="J24" s="123"/>
      <c r="K24" s="123"/>
      <c r="L24" s="123"/>
      <c r="M24" s="123"/>
      <c r="Q24" s="12"/>
      <c r="R24" s="12"/>
      <c r="S24" s="12"/>
      <c r="T24" s="12"/>
      <c r="U24" s="12"/>
      <c r="V24" s="12"/>
      <c r="W24" s="12"/>
      <c r="X24" s="12"/>
      <c r="Y24" s="12"/>
      <c r="Z24" s="12"/>
      <c r="AA24" s="12"/>
      <c r="AB24" s="12"/>
      <c r="AC24" s="12"/>
    </row>
    <row r="25" spans="1:29" ht="16" thickBot="1" x14ac:dyDescent="0.25">
      <c r="A25" s="121" t="s">
        <v>145</v>
      </c>
      <c r="B25" s="120"/>
      <c r="C25" s="120">
        <f t="shared" ref="C25:M25" si="13">B27</f>
        <v>40445.38730016</v>
      </c>
      <c r="D25" s="120">
        <f t="shared" si="13"/>
        <v>46107.92460032001</v>
      </c>
      <c r="E25" s="120">
        <f t="shared" si="13"/>
        <v>51770.461900480019</v>
      </c>
      <c r="F25" s="120">
        <f t="shared" si="13"/>
        <v>57432.999200640028</v>
      </c>
      <c r="G25" s="120">
        <f t="shared" si="13"/>
        <v>63095.536500800037</v>
      </c>
      <c r="H25" s="120">
        <f t="shared" si="13"/>
        <v>68758.073800960046</v>
      </c>
      <c r="I25" s="120">
        <f t="shared" si="13"/>
        <v>47260.797800960048</v>
      </c>
      <c r="J25" s="120">
        <f t="shared" si="13"/>
        <v>46634.371800960049</v>
      </c>
      <c r="K25" s="120">
        <f t="shared" si="13"/>
        <v>73167.759101120057</v>
      </c>
      <c r="L25" s="120">
        <f t="shared" si="13"/>
        <v>78830.296401280066</v>
      </c>
      <c r="M25" s="120">
        <f t="shared" si="13"/>
        <v>84492.833701440075</v>
      </c>
      <c r="Q25" s="12"/>
      <c r="R25" s="12"/>
      <c r="S25" s="12"/>
      <c r="T25" s="12"/>
      <c r="U25" s="12"/>
      <c r="V25" s="12"/>
      <c r="W25" s="12"/>
      <c r="X25" s="12"/>
      <c r="Y25" s="12"/>
      <c r="Z25" s="12"/>
      <c r="AA25" s="12"/>
      <c r="AB25" s="12"/>
      <c r="AC25" s="12"/>
    </row>
    <row r="26" spans="1:29" ht="16" thickBot="1" x14ac:dyDescent="0.25">
      <c r="A26" s="149" t="s">
        <v>144</v>
      </c>
      <c r="B26" s="150">
        <f t="shared" ref="B26:M26" si="14">SUM(B3:B5)-SUM(B7:B23)</f>
        <v>40445.38730016</v>
      </c>
      <c r="C26" s="150">
        <f t="shared" si="14"/>
        <v>5662.5373001600055</v>
      </c>
      <c r="D26" s="150">
        <f t="shared" si="14"/>
        <v>5662.5373001600055</v>
      </c>
      <c r="E26" s="150">
        <f t="shared" si="14"/>
        <v>5662.5373001600055</v>
      </c>
      <c r="F26" s="150">
        <f t="shared" si="14"/>
        <v>5662.5373001600055</v>
      </c>
      <c r="G26" s="150">
        <f t="shared" si="14"/>
        <v>5662.5373001600055</v>
      </c>
      <c r="H26" s="150">
        <f t="shared" si="14"/>
        <v>-21497.275999999998</v>
      </c>
      <c r="I26" s="150">
        <f t="shared" si="14"/>
        <v>-626.42600000000016</v>
      </c>
      <c r="J26" s="150">
        <f t="shared" si="14"/>
        <v>26533.387300160004</v>
      </c>
      <c r="K26" s="150">
        <f t="shared" si="14"/>
        <v>5662.5373001600055</v>
      </c>
      <c r="L26" s="150">
        <f t="shared" si="14"/>
        <v>5662.5373001600055</v>
      </c>
      <c r="M26" s="151">
        <f t="shared" si="14"/>
        <v>5662.5373001600055</v>
      </c>
      <c r="R26" s="122"/>
      <c r="S26" s="122"/>
      <c r="T26" s="122"/>
      <c r="U26" s="122"/>
      <c r="V26" s="122"/>
      <c r="W26" s="122"/>
      <c r="X26" s="122"/>
      <c r="Y26" s="122"/>
      <c r="Z26" s="122"/>
      <c r="AA26" s="122"/>
      <c r="AB26" s="122"/>
      <c r="AC26" s="122"/>
    </row>
    <row r="27" spans="1:29" ht="16" thickBot="1" x14ac:dyDescent="0.25">
      <c r="A27" s="152" t="s">
        <v>143</v>
      </c>
      <c r="B27" s="153">
        <f t="shared" ref="B27:M27" si="15">SUM(B3:B5)-SUM(B7:B23)+B25</f>
        <v>40445.38730016</v>
      </c>
      <c r="C27" s="153">
        <f t="shared" si="15"/>
        <v>46107.92460032001</v>
      </c>
      <c r="D27" s="153">
        <f t="shared" si="15"/>
        <v>51770.461900480019</v>
      </c>
      <c r="E27" s="153">
        <f t="shared" si="15"/>
        <v>57432.999200640028</v>
      </c>
      <c r="F27" s="153">
        <f t="shared" si="15"/>
        <v>63095.536500800037</v>
      </c>
      <c r="G27" s="153">
        <f t="shared" si="15"/>
        <v>68758.073800960046</v>
      </c>
      <c r="H27" s="153">
        <f t="shared" si="15"/>
        <v>47260.797800960048</v>
      </c>
      <c r="I27" s="153">
        <f t="shared" si="15"/>
        <v>46634.371800960049</v>
      </c>
      <c r="J27" s="153">
        <f t="shared" si="15"/>
        <v>73167.759101120057</v>
      </c>
      <c r="K27" s="153">
        <f t="shared" si="15"/>
        <v>78830.296401280066</v>
      </c>
      <c r="L27" s="153">
        <f t="shared" si="15"/>
        <v>84492.833701440075</v>
      </c>
      <c r="M27" s="154">
        <f t="shared" si="15"/>
        <v>90155.371001600084</v>
      </c>
      <c r="R27" s="114"/>
      <c r="S27" s="114"/>
      <c r="T27" s="114"/>
      <c r="U27" s="114"/>
      <c r="V27" s="114"/>
      <c r="W27" s="114"/>
      <c r="X27" s="114"/>
      <c r="Y27" s="114"/>
      <c r="Z27" s="114"/>
      <c r="AA27" s="114"/>
      <c r="AB27" s="114"/>
      <c r="AC27" s="114"/>
    </row>
    <row r="28" spans="1:29" x14ac:dyDescent="0.2">
      <c r="R28" s="114"/>
      <c r="S28" s="114"/>
      <c r="T28" s="114"/>
      <c r="U28" s="114"/>
      <c r="V28" s="114"/>
      <c r="W28" s="114"/>
      <c r="X28" s="114"/>
      <c r="Y28" s="114"/>
      <c r="Z28" s="114"/>
      <c r="AA28" s="114"/>
      <c r="AB28" s="114"/>
      <c r="AC28" s="114"/>
    </row>
    <row r="29" spans="1:29" x14ac:dyDescent="0.2">
      <c r="H29" s="111"/>
      <c r="R29" s="114"/>
      <c r="S29" s="114"/>
      <c r="T29" s="114"/>
      <c r="U29" s="114"/>
      <c r="V29" s="114"/>
      <c r="W29" s="114"/>
      <c r="X29" s="114"/>
      <c r="Y29" s="114"/>
      <c r="Z29" s="114"/>
      <c r="AA29" s="114"/>
      <c r="AB29" s="114"/>
      <c r="AC29" s="114"/>
    </row>
    <row r="30" spans="1:29" x14ac:dyDescent="0.2">
      <c r="H30" s="111"/>
      <c r="R30" s="114"/>
      <c r="S30" s="114"/>
      <c r="T30" s="114"/>
      <c r="U30" s="114"/>
      <c r="V30" s="114"/>
      <c r="W30" s="114"/>
      <c r="X30" s="114"/>
      <c r="Y30" s="114"/>
      <c r="Z30" s="114"/>
      <c r="AA30" s="114"/>
      <c r="AB30" s="114"/>
      <c r="AC30" s="114"/>
    </row>
    <row r="31" spans="1:29" x14ac:dyDescent="0.2">
      <c r="Q31" s="114"/>
      <c r="R31" s="114"/>
      <c r="S31" s="114"/>
      <c r="T31" s="114"/>
      <c r="U31" s="114"/>
      <c r="V31" s="114"/>
      <c r="W31" s="114"/>
      <c r="X31" s="114"/>
      <c r="Y31" s="114"/>
      <c r="Z31" s="114"/>
      <c r="AA31" s="114"/>
      <c r="AB31" s="114"/>
    </row>
    <row r="32" spans="1:29" x14ac:dyDescent="0.2">
      <c r="Q32" s="114"/>
      <c r="R32" s="114"/>
      <c r="S32" s="114"/>
      <c r="T32" s="114"/>
      <c r="U32" s="114"/>
      <c r="V32" s="114"/>
      <c r="W32" s="114"/>
      <c r="X32" s="114"/>
      <c r="Y32" s="114"/>
      <c r="Z32" s="114"/>
      <c r="AA32" s="114"/>
      <c r="AB32" s="114"/>
    </row>
    <row r="33" spans="1:40" x14ac:dyDescent="0.2">
      <c r="A33" s="2" t="s">
        <v>142</v>
      </c>
      <c r="B33" s="1" t="s">
        <v>48</v>
      </c>
      <c r="C33" s="1" t="s">
        <v>141</v>
      </c>
      <c r="D33" s="1" t="s">
        <v>140</v>
      </c>
      <c r="E33" s="1" t="s">
        <v>139</v>
      </c>
      <c r="F33" s="1" t="s">
        <v>138</v>
      </c>
      <c r="G33" s="1" t="s">
        <v>137</v>
      </c>
      <c r="H33" s="1" t="s">
        <v>136</v>
      </c>
      <c r="I33" s="1" t="s">
        <v>135</v>
      </c>
      <c r="J33" s="1" t="s">
        <v>134</v>
      </c>
      <c r="K33" s="1" t="s">
        <v>133</v>
      </c>
      <c r="L33" s="1" t="s">
        <v>132</v>
      </c>
      <c r="M33" s="1" t="s">
        <v>131</v>
      </c>
      <c r="Q33" s="114"/>
      <c r="R33" s="114"/>
      <c r="S33" s="114"/>
      <c r="T33" s="114"/>
      <c r="U33" s="114"/>
      <c r="V33" s="114"/>
      <c r="W33" s="114"/>
      <c r="X33" s="114"/>
      <c r="Y33" s="114"/>
      <c r="Z33" s="114"/>
      <c r="AA33" s="114"/>
      <c r="AB33" s="114"/>
    </row>
    <row r="34" spans="1:40" x14ac:dyDescent="0.2">
      <c r="A34" s="1" t="s">
        <v>130</v>
      </c>
      <c r="B34" s="5"/>
      <c r="C34" s="5">
        <f t="shared" ref="C34:M34" si="16">B38</f>
        <v>-1264.8099999999995</v>
      </c>
      <c r="D34" s="5">
        <f t="shared" si="16"/>
        <v>1185.8400000000004</v>
      </c>
      <c r="E34" s="5">
        <f t="shared" si="16"/>
        <v>1185.8400000000004</v>
      </c>
      <c r="F34" s="5">
        <f t="shared" si="16"/>
        <v>1185.8400000000004</v>
      </c>
      <c r="G34" s="5">
        <f t="shared" si="16"/>
        <v>1185.8400000000004</v>
      </c>
      <c r="H34" s="5">
        <f t="shared" si="16"/>
        <v>1185.8400000000004</v>
      </c>
      <c r="I34" s="5">
        <f t="shared" si="16"/>
        <v>-1897.3500000000001</v>
      </c>
      <c r="J34" s="5">
        <f t="shared" si="16"/>
        <v>0</v>
      </c>
      <c r="K34" s="5">
        <f t="shared" si="16"/>
        <v>3083.1900000000005</v>
      </c>
      <c r="L34" s="5">
        <f t="shared" si="16"/>
        <v>1185.8400000000004</v>
      </c>
      <c r="M34" s="5">
        <f t="shared" si="16"/>
        <v>1185.8400000000004</v>
      </c>
      <c r="Q34" s="114"/>
      <c r="R34" s="114"/>
      <c r="S34" s="114"/>
      <c r="T34" s="114"/>
      <c r="U34" s="114"/>
      <c r="V34" s="114"/>
      <c r="W34" s="114"/>
      <c r="X34" s="114"/>
      <c r="Y34" s="114"/>
      <c r="Z34" s="114"/>
      <c r="AA34" s="114"/>
      <c r="AB34" s="114"/>
    </row>
    <row r="35" spans="1:40" ht="32" x14ac:dyDescent="0.2">
      <c r="A35" s="115" t="s">
        <v>129</v>
      </c>
      <c r="B35" s="119">
        <f t="shared" ref="B35:M35" si="17">B3*0.1</f>
        <v>3083.1900000000005</v>
      </c>
      <c r="C35" s="119">
        <f t="shared" si="17"/>
        <v>3083.1900000000005</v>
      </c>
      <c r="D35" s="119">
        <f t="shared" si="17"/>
        <v>3083.1900000000005</v>
      </c>
      <c r="E35" s="119">
        <f t="shared" si="17"/>
        <v>3083.1900000000005</v>
      </c>
      <c r="F35" s="119">
        <f t="shared" si="17"/>
        <v>3083.1900000000005</v>
      </c>
      <c r="G35" s="119">
        <f t="shared" si="17"/>
        <v>3083.1900000000005</v>
      </c>
      <c r="H35" s="119">
        <f t="shared" si="17"/>
        <v>0</v>
      </c>
      <c r="I35" s="119">
        <f t="shared" si="17"/>
        <v>0</v>
      </c>
      <c r="J35" s="119">
        <f t="shared" si="17"/>
        <v>3083.1900000000005</v>
      </c>
      <c r="K35" s="119">
        <f t="shared" si="17"/>
        <v>3083.1900000000005</v>
      </c>
      <c r="L35" s="119">
        <f t="shared" si="17"/>
        <v>3083.1900000000005</v>
      </c>
      <c r="M35" s="119">
        <f t="shared" si="17"/>
        <v>3083.1900000000005</v>
      </c>
    </row>
    <row r="36" spans="1:40" x14ac:dyDescent="0.2">
      <c r="A36" s="118" t="s">
        <v>128</v>
      </c>
      <c r="B36" s="5"/>
      <c r="C36" s="5">
        <f t="shared" ref="C36:M36" si="18">C7*10%</f>
        <v>1897.3500000000001</v>
      </c>
      <c r="D36" s="5">
        <f t="shared" si="18"/>
        <v>1897.3500000000001</v>
      </c>
      <c r="E36" s="5">
        <f t="shared" si="18"/>
        <v>1897.3500000000001</v>
      </c>
      <c r="F36" s="5">
        <f t="shared" si="18"/>
        <v>1897.3500000000001</v>
      </c>
      <c r="G36" s="5">
        <f t="shared" si="18"/>
        <v>1897.3500000000001</v>
      </c>
      <c r="H36" s="5">
        <f t="shared" si="18"/>
        <v>1897.3500000000001</v>
      </c>
      <c r="I36" s="5">
        <f t="shared" si="18"/>
        <v>0</v>
      </c>
      <c r="J36" s="5">
        <f t="shared" si="18"/>
        <v>0</v>
      </c>
      <c r="K36" s="5">
        <f t="shared" si="18"/>
        <v>1897.3500000000001</v>
      </c>
      <c r="L36" s="117">
        <f t="shared" si="18"/>
        <v>1897.3500000000001</v>
      </c>
      <c r="M36" s="5">
        <f t="shared" si="18"/>
        <v>1897.3500000000001</v>
      </c>
    </row>
    <row r="37" spans="1:40" x14ac:dyDescent="0.2">
      <c r="A37" s="1" t="s">
        <v>127</v>
      </c>
      <c r="B37" s="116">
        <f t="shared" ref="B37:M37" si="19">B8*0.2</f>
        <v>4348</v>
      </c>
      <c r="C37" s="116">
        <f t="shared" si="19"/>
        <v>0</v>
      </c>
      <c r="D37" s="116">
        <f t="shared" si="19"/>
        <v>0</v>
      </c>
      <c r="E37" s="116">
        <f t="shared" si="19"/>
        <v>0</v>
      </c>
      <c r="F37" s="116">
        <f t="shared" si="19"/>
        <v>0</v>
      </c>
      <c r="G37" s="116">
        <f t="shared" si="19"/>
        <v>0</v>
      </c>
      <c r="H37" s="116">
        <f t="shared" si="19"/>
        <v>0</v>
      </c>
      <c r="I37" s="116">
        <f t="shared" si="19"/>
        <v>0</v>
      </c>
      <c r="J37" s="116">
        <f t="shared" si="19"/>
        <v>0</v>
      </c>
      <c r="K37" s="116">
        <f t="shared" si="19"/>
        <v>0</v>
      </c>
      <c r="L37" s="116">
        <f t="shared" si="19"/>
        <v>0</v>
      </c>
      <c r="M37" s="116">
        <f t="shared" si="19"/>
        <v>0</v>
      </c>
    </row>
    <row r="38" spans="1:40" x14ac:dyDescent="0.2">
      <c r="A38" s="1" t="s">
        <v>126</v>
      </c>
      <c r="B38" s="5">
        <f t="shared" ref="B38:M38" si="20">B35-B36-B37</f>
        <v>-1264.8099999999995</v>
      </c>
      <c r="C38" s="5">
        <f t="shared" si="20"/>
        <v>1185.8400000000004</v>
      </c>
      <c r="D38" s="5">
        <f t="shared" si="20"/>
        <v>1185.8400000000004</v>
      </c>
      <c r="E38" s="5">
        <f t="shared" si="20"/>
        <v>1185.8400000000004</v>
      </c>
      <c r="F38" s="5">
        <f t="shared" si="20"/>
        <v>1185.8400000000004</v>
      </c>
      <c r="G38" s="5">
        <f t="shared" si="20"/>
        <v>1185.8400000000004</v>
      </c>
      <c r="H38" s="5">
        <f t="shared" si="20"/>
        <v>-1897.3500000000001</v>
      </c>
      <c r="I38" s="5">
        <f t="shared" si="20"/>
        <v>0</v>
      </c>
      <c r="J38" s="5">
        <f t="shared" si="20"/>
        <v>3083.1900000000005</v>
      </c>
      <c r="K38" s="5">
        <f t="shared" si="20"/>
        <v>1185.8400000000004</v>
      </c>
      <c r="L38" s="5">
        <f t="shared" si="20"/>
        <v>1185.8400000000004</v>
      </c>
      <c r="M38" s="5">
        <f t="shared" si="20"/>
        <v>1185.8400000000004</v>
      </c>
      <c r="AB38" s="12"/>
      <c r="AC38" s="12"/>
    </row>
    <row r="39" spans="1:40" ht="16" x14ac:dyDescent="0.2">
      <c r="A39" s="115" t="s">
        <v>125</v>
      </c>
      <c r="B39" s="5">
        <f t="shared" ref="B39:M39" si="21">B34</f>
        <v>0</v>
      </c>
      <c r="C39" s="5">
        <f t="shared" si="21"/>
        <v>-1264.8099999999995</v>
      </c>
      <c r="D39" s="5">
        <f t="shared" si="21"/>
        <v>1185.8400000000004</v>
      </c>
      <c r="E39" s="5">
        <f t="shared" si="21"/>
        <v>1185.8400000000004</v>
      </c>
      <c r="F39" s="5">
        <f t="shared" si="21"/>
        <v>1185.8400000000004</v>
      </c>
      <c r="G39" s="5">
        <f t="shared" si="21"/>
        <v>1185.8400000000004</v>
      </c>
      <c r="H39" s="5">
        <f t="shared" si="21"/>
        <v>1185.8400000000004</v>
      </c>
      <c r="I39" s="5">
        <f t="shared" si="21"/>
        <v>-1897.3500000000001</v>
      </c>
      <c r="J39" s="5">
        <f t="shared" si="21"/>
        <v>0</v>
      </c>
      <c r="K39" s="5">
        <f t="shared" si="21"/>
        <v>3083.1900000000005</v>
      </c>
      <c r="L39" s="5">
        <f t="shared" si="21"/>
        <v>1185.8400000000004</v>
      </c>
      <c r="M39" s="5">
        <f t="shared" si="21"/>
        <v>1185.8400000000004</v>
      </c>
      <c r="AC39" s="114"/>
    </row>
    <row r="40" spans="1:40" x14ac:dyDescent="0.2">
      <c r="AC40" s="114"/>
    </row>
    <row r="41" spans="1:40" x14ac:dyDescent="0.2">
      <c r="AC41" s="114"/>
    </row>
    <row r="42" spans="1:40" ht="13.75" customHeight="1" x14ac:dyDescent="0.2">
      <c r="AC42" s="114"/>
    </row>
    <row r="43" spans="1:40" x14ac:dyDescent="0.2">
      <c r="AC43" s="114"/>
    </row>
    <row r="46" spans="1:40" x14ac:dyDescent="0.2">
      <c r="B46" s="12"/>
      <c r="C46" s="12"/>
      <c r="D46" s="12"/>
      <c r="E46" s="12"/>
      <c r="F46" s="12"/>
      <c r="G46" s="12"/>
      <c r="H46" s="12"/>
      <c r="I46" s="12"/>
      <c r="J46" s="12"/>
      <c r="K46" s="12"/>
      <c r="L46" s="12"/>
      <c r="M46" s="12"/>
    </row>
    <row r="47" spans="1:40" x14ac:dyDescent="0.2">
      <c r="A47" s="113"/>
      <c r="B47" s="111"/>
      <c r="C47" s="111"/>
      <c r="D47" s="111"/>
      <c r="E47" s="111"/>
      <c r="F47" s="111"/>
      <c r="G47" s="111"/>
      <c r="H47" s="111"/>
      <c r="I47" s="111"/>
      <c r="J47" s="111"/>
      <c r="K47" s="111"/>
      <c r="L47" s="111"/>
      <c r="M47" s="111"/>
    </row>
    <row r="48" spans="1:40" x14ac:dyDescent="0.2">
      <c r="A48" s="112"/>
      <c r="B48" s="111"/>
      <c r="C48" s="111"/>
      <c r="D48" s="111"/>
      <c r="E48" s="111"/>
      <c r="F48" s="111"/>
      <c r="G48" s="111"/>
      <c r="H48" s="111"/>
      <c r="I48" s="111"/>
      <c r="J48" s="111"/>
      <c r="K48" s="111"/>
      <c r="L48" s="111"/>
      <c r="M48" s="111"/>
      <c r="AB48" s="12"/>
      <c r="AC48" s="84"/>
      <c r="AD48" s="84"/>
      <c r="AE48" s="84"/>
      <c r="AF48" s="84"/>
      <c r="AG48" s="84"/>
      <c r="AH48" s="84"/>
      <c r="AI48" s="84"/>
      <c r="AJ48" s="84"/>
      <c r="AK48" s="84"/>
      <c r="AL48" s="84"/>
      <c r="AM48" s="84"/>
      <c r="AN48" s="84"/>
    </row>
    <row r="49" spans="1:40" x14ac:dyDescent="0.2">
      <c r="A49" s="112"/>
      <c r="B49" s="111"/>
      <c r="C49" s="111"/>
      <c r="D49" s="111"/>
      <c r="E49" s="111"/>
      <c r="F49" s="111"/>
      <c r="G49" s="111"/>
      <c r="H49" s="111"/>
      <c r="I49" s="111"/>
      <c r="J49" s="111"/>
      <c r="K49" s="111"/>
      <c r="L49" s="111"/>
      <c r="M49" s="111"/>
      <c r="AC49" s="53"/>
      <c r="AD49" s="53"/>
      <c r="AE49" s="53"/>
      <c r="AF49" s="53"/>
      <c r="AG49" s="53"/>
      <c r="AH49" s="53"/>
      <c r="AI49" s="53"/>
      <c r="AJ49" s="53"/>
      <c r="AK49" s="53"/>
      <c r="AL49" s="53"/>
      <c r="AM49" s="53"/>
      <c r="AN49" s="53"/>
    </row>
    <row r="50" spans="1:40" x14ac:dyDescent="0.2">
      <c r="A50" s="112"/>
      <c r="B50" s="111"/>
      <c r="C50" s="111"/>
      <c r="D50" s="111"/>
      <c r="E50" s="111"/>
      <c r="F50" s="111"/>
      <c r="G50" s="111"/>
      <c r="H50" s="111"/>
      <c r="I50" s="111"/>
      <c r="J50" s="111"/>
      <c r="K50" s="111"/>
      <c r="L50" s="111"/>
      <c r="M50" s="111"/>
      <c r="AC50" s="53"/>
      <c r="AD50" s="53"/>
      <c r="AE50" s="53"/>
      <c r="AF50" s="53"/>
      <c r="AG50" s="53"/>
      <c r="AH50" s="53"/>
      <c r="AI50" s="53"/>
      <c r="AJ50" s="53"/>
      <c r="AK50" s="53"/>
      <c r="AL50" s="53"/>
      <c r="AM50" s="53"/>
      <c r="AN50" s="53"/>
    </row>
    <row r="51" spans="1:40" x14ac:dyDescent="0.2">
      <c r="A51" s="112"/>
      <c r="B51" s="111"/>
      <c r="C51" s="111"/>
      <c r="D51" s="111"/>
      <c r="E51" s="111"/>
      <c r="F51" s="111"/>
      <c r="G51" s="111"/>
      <c r="H51" s="111"/>
      <c r="I51" s="111"/>
      <c r="J51" s="111"/>
      <c r="K51" s="111"/>
      <c r="L51" s="111"/>
      <c r="M51" s="111"/>
      <c r="AC51" s="53"/>
      <c r="AD51" s="53"/>
      <c r="AE51" s="53"/>
      <c r="AF51" s="53"/>
      <c r="AG51" s="53"/>
      <c r="AH51" s="53"/>
      <c r="AI51" s="53"/>
      <c r="AJ51" s="53"/>
      <c r="AK51" s="53"/>
      <c r="AL51" s="53"/>
      <c r="AM51" s="53"/>
      <c r="AN51" s="53"/>
    </row>
    <row r="52" spans="1:40" x14ac:dyDescent="0.2">
      <c r="A52" s="112"/>
      <c r="B52" s="111"/>
      <c r="C52" s="111"/>
      <c r="D52" s="111"/>
      <c r="E52" s="111"/>
      <c r="F52" s="111"/>
      <c r="G52" s="111"/>
      <c r="H52" s="111"/>
      <c r="I52" s="111"/>
      <c r="J52" s="111"/>
      <c r="K52" s="111"/>
      <c r="L52" s="111"/>
      <c r="M52" s="111"/>
      <c r="AC52" s="53"/>
      <c r="AD52" s="53"/>
      <c r="AE52" s="53"/>
      <c r="AF52" s="53"/>
      <c r="AG52" s="53"/>
      <c r="AH52" s="53"/>
      <c r="AI52" s="53"/>
      <c r="AJ52" s="53"/>
      <c r="AK52" s="53"/>
      <c r="AL52" s="53"/>
      <c r="AM52" s="53"/>
      <c r="AN52" s="53"/>
    </row>
    <row r="53" spans="1:40" x14ac:dyDescent="0.2">
      <c r="A53" s="112"/>
      <c r="B53" s="111"/>
      <c r="C53" s="111"/>
      <c r="D53" s="111"/>
      <c r="E53" s="111"/>
      <c r="F53" s="111"/>
      <c r="G53" s="111"/>
      <c r="H53" s="111"/>
      <c r="I53" s="111"/>
      <c r="J53" s="111"/>
      <c r="K53" s="111"/>
      <c r="L53" s="111"/>
      <c r="M53" s="111"/>
      <c r="AB53" s="62"/>
      <c r="AC53" s="53"/>
      <c r="AD53" s="53"/>
      <c r="AE53" s="53"/>
      <c r="AF53" s="53"/>
      <c r="AG53" s="53"/>
      <c r="AH53" s="53"/>
      <c r="AI53" s="53"/>
      <c r="AJ53" s="53"/>
      <c r="AK53" s="53"/>
      <c r="AL53" s="53"/>
      <c r="AM53" s="53"/>
      <c r="AN53" s="53"/>
    </row>
    <row r="54" spans="1:40" x14ac:dyDescent="0.2">
      <c r="A54" s="112"/>
      <c r="B54" s="111"/>
      <c r="C54" s="111"/>
      <c r="D54" s="111"/>
      <c r="E54" s="111"/>
      <c r="F54" s="111"/>
      <c r="G54" s="111"/>
      <c r="H54" s="111"/>
      <c r="I54" s="111"/>
      <c r="J54" s="111"/>
      <c r="K54" s="111"/>
      <c r="L54" s="111"/>
      <c r="M54" s="111"/>
      <c r="AB54" s="12"/>
      <c r="AC54" s="12"/>
      <c r="AD54" s="12"/>
      <c r="AE54" s="12"/>
      <c r="AF54" s="12"/>
      <c r="AG54" s="12"/>
      <c r="AH54" s="12"/>
      <c r="AI54" s="12"/>
      <c r="AJ54" s="12"/>
      <c r="AK54" s="12"/>
      <c r="AL54" s="12"/>
      <c r="AM54" s="12"/>
      <c r="AN54" s="12"/>
    </row>
    <row r="55" spans="1:40" x14ac:dyDescent="0.2">
      <c r="A55" s="12"/>
      <c r="B55" s="111"/>
      <c r="C55" s="111"/>
      <c r="D55" s="111"/>
      <c r="E55" s="111"/>
      <c r="F55" s="111"/>
      <c r="G55" s="111"/>
      <c r="H55" s="111"/>
      <c r="I55" s="111"/>
      <c r="J55" s="111"/>
      <c r="K55" s="111"/>
      <c r="L55" s="111"/>
      <c r="M55" s="111"/>
      <c r="AC55" s="53"/>
      <c r="AD55" s="53"/>
      <c r="AE55" s="53"/>
      <c r="AF55" s="53"/>
      <c r="AG55" s="53"/>
      <c r="AH55" s="53"/>
      <c r="AI55" s="53"/>
      <c r="AJ55" s="53"/>
      <c r="AK55" s="53"/>
      <c r="AL55" s="53"/>
      <c r="AM55" s="53"/>
      <c r="AN55" s="53"/>
    </row>
    <row r="56" spans="1:40" x14ac:dyDescent="0.2">
      <c r="AC56" s="53"/>
      <c r="AD56" s="53"/>
      <c r="AE56" s="53"/>
      <c r="AF56" s="53"/>
      <c r="AG56" s="53"/>
      <c r="AH56" s="53"/>
      <c r="AI56" s="53"/>
      <c r="AJ56" s="53"/>
      <c r="AK56" s="53"/>
      <c r="AL56" s="53"/>
      <c r="AM56" s="53"/>
      <c r="AN56" s="53"/>
    </row>
    <row r="57" spans="1:40" x14ac:dyDescent="0.2">
      <c r="AC57" s="53"/>
      <c r="AD57" s="53"/>
      <c r="AE57" s="53"/>
      <c r="AF57" s="53"/>
      <c r="AG57" s="53"/>
      <c r="AH57" s="53"/>
      <c r="AI57" s="53"/>
      <c r="AJ57" s="53"/>
      <c r="AK57" s="53"/>
      <c r="AL57" s="53"/>
      <c r="AM57" s="53"/>
      <c r="AN57" s="53"/>
    </row>
    <row r="58" spans="1:40" x14ac:dyDescent="0.2">
      <c r="AC58" s="53"/>
      <c r="AD58" s="53"/>
      <c r="AE58" s="53"/>
      <c r="AF58" s="53"/>
      <c r="AG58" s="53"/>
      <c r="AH58" s="53"/>
      <c r="AI58" s="53"/>
      <c r="AJ58" s="53"/>
      <c r="AK58" s="53"/>
      <c r="AL58" s="53"/>
      <c r="AM58" s="53"/>
      <c r="AN58" s="53"/>
    </row>
    <row r="59" spans="1:40" x14ac:dyDescent="0.2">
      <c r="AB59" s="62"/>
      <c r="AC59" s="53"/>
      <c r="AD59" s="53"/>
      <c r="AE59" s="53"/>
      <c r="AF59" s="53"/>
      <c r="AG59" s="53"/>
      <c r="AH59" s="53"/>
      <c r="AI59" s="53"/>
      <c r="AJ59" s="53"/>
      <c r="AK59" s="53"/>
      <c r="AL59" s="53"/>
      <c r="AM59" s="53"/>
      <c r="AN59" s="53"/>
    </row>
    <row r="60" spans="1:40" ht="21" x14ac:dyDescent="0.25">
      <c r="Q60" s="110"/>
      <c r="AB60" s="12"/>
      <c r="AC60" s="12"/>
      <c r="AD60" s="12"/>
      <c r="AE60" s="12"/>
      <c r="AF60" s="12"/>
      <c r="AG60" s="12"/>
      <c r="AH60" s="12"/>
      <c r="AI60" s="12"/>
      <c r="AJ60" s="12"/>
      <c r="AK60" s="12"/>
      <c r="AL60" s="12"/>
      <c r="AM60" s="12"/>
      <c r="AN60" s="12"/>
    </row>
    <row r="61" spans="1:40" ht="21" x14ac:dyDescent="0.25">
      <c r="Q61" s="110"/>
      <c r="AC61" s="53"/>
      <c r="AD61" s="53"/>
      <c r="AE61" s="53"/>
      <c r="AF61" s="53"/>
      <c r="AG61" s="53"/>
      <c r="AH61" s="53"/>
      <c r="AI61" s="53"/>
      <c r="AJ61" s="53"/>
      <c r="AK61" s="53"/>
      <c r="AL61" s="53"/>
      <c r="AM61" s="53"/>
      <c r="AN61" s="53"/>
    </row>
    <row r="62" spans="1:40" x14ac:dyDescent="0.2">
      <c r="AB62" s="62"/>
      <c r="AC62" s="53"/>
      <c r="AD62" s="53"/>
      <c r="AE62" s="53"/>
      <c r="AF62" s="53"/>
      <c r="AG62" s="53"/>
      <c r="AH62" s="53"/>
      <c r="AI62" s="53"/>
      <c r="AJ62" s="53"/>
      <c r="AK62" s="53"/>
      <c r="AL62" s="53"/>
      <c r="AM62" s="53"/>
      <c r="AN62" s="53"/>
    </row>
    <row r="63" spans="1:40" x14ac:dyDescent="0.2">
      <c r="AC63" s="53"/>
      <c r="AD63" s="53"/>
      <c r="AE63" s="53"/>
      <c r="AF63" s="53"/>
      <c r="AG63" s="53"/>
      <c r="AH63" s="53"/>
      <c r="AI63" s="53"/>
      <c r="AJ63" s="53"/>
      <c r="AK63" s="53"/>
      <c r="AL63" s="53"/>
      <c r="AM63" s="53"/>
      <c r="AN63" s="53"/>
    </row>
    <row r="64" spans="1:40" x14ac:dyDescent="0.2">
      <c r="AC64" s="53"/>
      <c r="AD64" s="53"/>
      <c r="AE64" s="53"/>
      <c r="AF64" s="53"/>
      <c r="AG64" s="53"/>
      <c r="AH64" s="53"/>
      <c r="AI64" s="53"/>
      <c r="AJ64" s="53"/>
      <c r="AK64" s="53"/>
      <c r="AL64" s="53"/>
      <c r="AM64" s="53"/>
      <c r="AN64" s="53"/>
    </row>
    <row r="65" spans="28:40" x14ac:dyDescent="0.2">
      <c r="AC65" s="53"/>
      <c r="AD65" s="53"/>
      <c r="AE65" s="53"/>
      <c r="AF65" s="53"/>
      <c r="AG65" s="53"/>
      <c r="AH65" s="53"/>
      <c r="AI65" s="53"/>
      <c r="AJ65" s="53"/>
      <c r="AK65" s="53"/>
      <c r="AL65" s="53"/>
      <c r="AM65" s="53"/>
      <c r="AN65" s="53"/>
    </row>
    <row r="66" spans="28:40" x14ac:dyDescent="0.2">
      <c r="AB66" s="62"/>
      <c r="AC66" s="53"/>
      <c r="AD66" s="53"/>
      <c r="AE66" s="53"/>
      <c r="AF66" s="53"/>
      <c r="AG66" s="53"/>
      <c r="AH66" s="53"/>
      <c r="AI66" s="53"/>
      <c r="AJ66" s="53"/>
      <c r="AK66" s="53"/>
      <c r="AL66" s="53"/>
      <c r="AM66" s="53"/>
      <c r="AN66" s="53"/>
    </row>
  </sheetData>
  <pageMargins left="0.7" right="0.7" top="0.75" bottom="0.75" header="0.3" footer="0.3"/>
  <pageSetup paperSize="9" orientation="portrait" horizontalDpi="4294967293"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3B07F-B8CA-43E7-971D-949A25FBE804}">
  <dimension ref="A1:AN66"/>
  <sheetViews>
    <sheetView zoomScale="85" zoomScaleNormal="85" workbookViewId="0">
      <selection activeCell="N9" sqref="N9"/>
    </sheetView>
  </sheetViews>
  <sheetFormatPr baseColWidth="10" defaultRowHeight="15" x14ac:dyDescent="0.2"/>
  <cols>
    <col min="1" max="1" width="34" customWidth="1"/>
    <col min="2" max="2" width="15.33203125" customWidth="1"/>
    <col min="3" max="4" width="12.1640625" bestFit="1" customWidth="1"/>
    <col min="5" max="6" width="11.83203125" bestFit="1" customWidth="1"/>
    <col min="7" max="7" width="12.1640625" bestFit="1" customWidth="1"/>
    <col min="8" max="8" width="16.1640625" customWidth="1"/>
    <col min="9" max="9" width="16.5" customWidth="1"/>
    <col min="10" max="10" width="15.33203125" customWidth="1"/>
    <col min="11" max="11" width="13.1640625" bestFit="1" customWidth="1"/>
    <col min="12" max="12" width="17.1640625" customWidth="1"/>
    <col min="13" max="13" width="16.83203125" customWidth="1"/>
    <col min="14" max="14" width="12.5" bestFit="1" customWidth="1"/>
    <col min="15" max="15" width="38.5" customWidth="1"/>
    <col min="17" max="17" width="23.1640625" customWidth="1"/>
    <col min="28" max="28" width="21.33203125" bestFit="1" customWidth="1"/>
  </cols>
  <sheetData>
    <row r="1" spans="1:19" ht="19" x14ac:dyDescent="0.25">
      <c r="A1" s="147" t="s">
        <v>0</v>
      </c>
      <c r="B1" s="93" t="s">
        <v>48</v>
      </c>
      <c r="C1" s="93" t="s">
        <v>141</v>
      </c>
      <c r="D1" s="93" t="s">
        <v>140</v>
      </c>
      <c r="E1" s="93" t="s">
        <v>139</v>
      </c>
      <c r="F1" s="93" t="s">
        <v>138</v>
      </c>
      <c r="G1" s="93" t="s">
        <v>137</v>
      </c>
      <c r="H1" s="93" t="s">
        <v>136</v>
      </c>
      <c r="I1" s="93" t="s">
        <v>135</v>
      </c>
      <c r="J1" s="93" t="s">
        <v>134</v>
      </c>
      <c r="K1" s="93" t="s">
        <v>133</v>
      </c>
      <c r="L1" s="93" t="s">
        <v>132</v>
      </c>
      <c r="M1" s="93" t="s">
        <v>131</v>
      </c>
      <c r="O1" s="146" t="s">
        <v>166</v>
      </c>
    </row>
    <row r="2" spans="1:19" x14ac:dyDescent="0.2">
      <c r="A2" s="145" t="s">
        <v>165</v>
      </c>
      <c r="B2" s="144"/>
      <c r="C2" s="144"/>
      <c r="D2" s="144"/>
      <c r="E2" s="144"/>
      <c r="F2" s="144"/>
      <c r="G2" s="144"/>
      <c r="H2" s="144"/>
      <c r="I2" s="144"/>
      <c r="J2" s="144"/>
      <c r="K2" s="144"/>
      <c r="L2" s="144"/>
      <c r="M2" s="144"/>
      <c r="O2" t="s">
        <v>168</v>
      </c>
    </row>
    <row r="3" spans="1:19" x14ac:dyDescent="0.2">
      <c r="A3" s="136" t="s">
        <v>92</v>
      </c>
      <c r="B3" s="143">
        <f>331443/10</f>
        <v>33144.300000000003</v>
      </c>
      <c r="C3" s="143">
        <f t="shared" ref="C3:M3" si="0">331443/10</f>
        <v>33144.300000000003</v>
      </c>
      <c r="D3" s="143">
        <f t="shared" si="0"/>
        <v>33144.300000000003</v>
      </c>
      <c r="E3" s="143">
        <f t="shared" si="0"/>
        <v>33144.300000000003</v>
      </c>
      <c r="F3" s="143">
        <f t="shared" si="0"/>
        <v>33144.300000000003</v>
      </c>
      <c r="G3" s="143">
        <f t="shared" si="0"/>
        <v>33144.300000000003</v>
      </c>
      <c r="H3" s="143"/>
      <c r="I3" s="143"/>
      <c r="J3" s="143">
        <f t="shared" si="0"/>
        <v>33144.300000000003</v>
      </c>
      <c r="K3" s="143">
        <f t="shared" si="0"/>
        <v>33144.300000000003</v>
      </c>
      <c r="L3" s="143">
        <f t="shared" si="0"/>
        <v>33144.300000000003</v>
      </c>
      <c r="M3" s="143">
        <f t="shared" si="0"/>
        <v>33144.300000000003</v>
      </c>
      <c r="N3" s="111"/>
      <c r="O3" t="s">
        <v>169</v>
      </c>
    </row>
    <row r="4" spans="1:19" x14ac:dyDescent="0.2">
      <c r="A4" s="141" t="s">
        <v>164</v>
      </c>
      <c r="B4" s="140">
        <f t="shared" ref="B4:M4" si="1">B34</f>
        <v>3314.4300000000003</v>
      </c>
      <c r="C4" s="125">
        <f t="shared" si="1"/>
        <v>3314.4300000000003</v>
      </c>
      <c r="D4" s="125">
        <f t="shared" si="1"/>
        <v>3314.4300000000003</v>
      </c>
      <c r="E4" s="125">
        <f t="shared" si="1"/>
        <v>3314.4300000000003</v>
      </c>
      <c r="F4" s="125">
        <f t="shared" si="1"/>
        <v>3314.4300000000003</v>
      </c>
      <c r="G4" s="125">
        <f t="shared" si="1"/>
        <v>3314.4300000000003</v>
      </c>
      <c r="H4" s="125">
        <f t="shared" si="1"/>
        <v>0</v>
      </c>
      <c r="I4" s="125">
        <f t="shared" si="1"/>
        <v>0</v>
      </c>
      <c r="J4" s="125">
        <f t="shared" si="1"/>
        <v>3314.4300000000003</v>
      </c>
      <c r="K4" s="125">
        <f t="shared" si="1"/>
        <v>3314.4300000000003</v>
      </c>
      <c r="L4" s="125">
        <f t="shared" si="1"/>
        <v>3314.4300000000003</v>
      </c>
      <c r="M4" s="125">
        <f t="shared" si="1"/>
        <v>3314.4300000000003</v>
      </c>
      <c r="N4" s="142"/>
      <c r="S4" s="114"/>
    </row>
    <row r="5" spans="1:19" x14ac:dyDescent="0.2">
      <c r="A5" s="139" t="s">
        <v>163</v>
      </c>
      <c r="B5" s="138"/>
      <c r="C5" s="138"/>
      <c r="D5" s="138"/>
      <c r="E5" s="138"/>
      <c r="F5" s="138"/>
      <c r="G5" s="138"/>
      <c r="H5" s="138"/>
      <c r="I5" s="138"/>
      <c r="J5" s="138"/>
      <c r="K5" s="138"/>
      <c r="L5" s="138"/>
      <c r="M5" s="137"/>
      <c r="N5" s="111"/>
      <c r="O5" s="111"/>
      <c r="S5" s="114"/>
    </row>
    <row r="6" spans="1:19" x14ac:dyDescent="0.2">
      <c r="A6" s="136" t="s">
        <v>162</v>
      </c>
      <c r="B6" s="135">
        <f>'Compte de résultat'!D4/10</f>
        <v>19425.25</v>
      </c>
      <c r="C6" s="134">
        <f>B6</f>
        <v>19425.25</v>
      </c>
      <c r="D6" s="134">
        <f t="shared" ref="D6:M6" si="2">C6</f>
        <v>19425.25</v>
      </c>
      <c r="E6" s="134">
        <f t="shared" si="2"/>
        <v>19425.25</v>
      </c>
      <c r="F6" s="134">
        <f t="shared" si="2"/>
        <v>19425.25</v>
      </c>
      <c r="G6" s="134">
        <f t="shared" si="2"/>
        <v>19425.25</v>
      </c>
      <c r="H6" s="134">
        <f t="shared" si="2"/>
        <v>19425.25</v>
      </c>
      <c r="I6" s="134"/>
      <c r="J6" s="134">
        <f t="shared" si="2"/>
        <v>0</v>
      </c>
      <c r="K6" s="134">
        <f>H6</f>
        <v>19425.25</v>
      </c>
      <c r="L6" s="134">
        <f t="shared" si="2"/>
        <v>19425.25</v>
      </c>
      <c r="M6" s="134">
        <f t="shared" si="2"/>
        <v>19425.25</v>
      </c>
      <c r="N6" s="111"/>
      <c r="Q6" s="114"/>
    </row>
    <row r="7" spans="1:19" x14ac:dyDescent="0.2">
      <c r="A7" s="131" t="s">
        <v>161</v>
      </c>
      <c r="B7" s="132"/>
      <c r="C7" s="127"/>
      <c r="D7" s="127"/>
      <c r="E7" s="127"/>
      <c r="F7" s="127"/>
      <c r="G7" s="127"/>
      <c r="H7" s="127"/>
      <c r="I7" s="127"/>
      <c r="J7" s="127"/>
      <c r="K7" s="127"/>
      <c r="L7" s="127"/>
      <c r="M7" s="127"/>
      <c r="N7" s="133"/>
      <c r="Q7" s="114"/>
    </row>
    <row r="8" spans="1:19" x14ac:dyDescent="0.2">
      <c r="A8" s="131" t="s">
        <v>160</v>
      </c>
      <c r="B8" s="132">
        <f>'Compte de résultat'!D71</f>
        <v>1330.6129459200001</v>
      </c>
      <c r="C8" s="132">
        <f>B8</f>
        <v>1330.6129459200001</v>
      </c>
      <c r="D8" s="132">
        <f t="shared" ref="D8:M8" si="3">C8</f>
        <v>1330.6129459200001</v>
      </c>
      <c r="E8" s="132">
        <f t="shared" si="3"/>
        <v>1330.6129459200001</v>
      </c>
      <c r="F8" s="132">
        <f t="shared" si="3"/>
        <v>1330.6129459200001</v>
      </c>
      <c r="G8" s="132">
        <f t="shared" si="3"/>
        <v>1330.6129459200001</v>
      </c>
      <c r="H8" s="132"/>
      <c r="I8" s="132">
        <f t="shared" si="3"/>
        <v>0</v>
      </c>
      <c r="J8" s="132">
        <f>G8</f>
        <v>1330.6129459200001</v>
      </c>
      <c r="K8" s="132">
        <f t="shared" si="3"/>
        <v>1330.6129459200001</v>
      </c>
      <c r="L8" s="132">
        <f t="shared" si="3"/>
        <v>1330.6129459200001</v>
      </c>
      <c r="M8" s="132">
        <f t="shared" si="3"/>
        <v>1330.6129459200001</v>
      </c>
      <c r="N8" s="133"/>
      <c r="Q8" s="114"/>
    </row>
    <row r="9" spans="1:19" x14ac:dyDescent="0.2">
      <c r="A9" s="131" t="s">
        <v>159</v>
      </c>
      <c r="B9" s="132">
        <f>B8*0.28</f>
        <v>372.57162485760006</v>
      </c>
      <c r="C9" s="132">
        <f t="shared" ref="C9:M9" si="4">C8*0.28</f>
        <v>372.57162485760006</v>
      </c>
      <c r="D9" s="132">
        <f t="shared" si="4"/>
        <v>372.57162485760006</v>
      </c>
      <c r="E9" s="132">
        <f t="shared" si="4"/>
        <v>372.57162485760006</v>
      </c>
      <c r="F9" s="132">
        <f t="shared" si="4"/>
        <v>372.57162485760006</v>
      </c>
      <c r="G9" s="132">
        <f t="shared" si="4"/>
        <v>372.57162485760006</v>
      </c>
      <c r="H9" s="132"/>
      <c r="I9" s="132"/>
      <c r="J9" s="132">
        <f t="shared" si="4"/>
        <v>372.57162485760006</v>
      </c>
      <c r="K9" s="132">
        <f t="shared" si="4"/>
        <v>372.57162485760006</v>
      </c>
      <c r="L9" s="132">
        <f t="shared" si="4"/>
        <v>372.57162485760006</v>
      </c>
      <c r="M9" s="132">
        <f t="shared" si="4"/>
        <v>372.57162485760006</v>
      </c>
      <c r="Q9" s="114"/>
    </row>
    <row r="10" spans="1:19" x14ac:dyDescent="0.2">
      <c r="A10" s="131" t="s">
        <v>158</v>
      </c>
      <c r="B10" s="132">
        <f>B8*0.4</f>
        <v>532.2451783680001</v>
      </c>
      <c r="C10" s="132">
        <f t="shared" ref="C10:M10" si="5">C8*0.4</f>
        <v>532.2451783680001</v>
      </c>
      <c r="D10" s="132">
        <f t="shared" si="5"/>
        <v>532.2451783680001</v>
      </c>
      <c r="E10" s="132">
        <f t="shared" si="5"/>
        <v>532.2451783680001</v>
      </c>
      <c r="F10" s="132">
        <f t="shared" si="5"/>
        <v>532.2451783680001</v>
      </c>
      <c r="G10" s="132">
        <f t="shared" si="5"/>
        <v>532.2451783680001</v>
      </c>
      <c r="H10" s="132"/>
      <c r="I10" s="132"/>
      <c r="J10" s="132">
        <f t="shared" si="5"/>
        <v>532.2451783680001</v>
      </c>
      <c r="K10" s="132">
        <f t="shared" si="5"/>
        <v>532.2451783680001</v>
      </c>
      <c r="L10" s="132">
        <f t="shared" si="5"/>
        <v>532.2451783680001</v>
      </c>
      <c r="M10" s="132">
        <f t="shared" si="5"/>
        <v>532.2451783680001</v>
      </c>
      <c r="Q10" s="122"/>
    </row>
    <row r="11" spans="1:19" x14ac:dyDescent="0.2">
      <c r="A11" s="131" t="s">
        <v>157</v>
      </c>
      <c r="B11" s="132"/>
      <c r="C11" s="127"/>
      <c r="D11" s="127"/>
      <c r="E11" s="127"/>
      <c r="F11" s="127"/>
      <c r="G11" s="127"/>
      <c r="H11" s="127"/>
      <c r="I11" s="127"/>
      <c r="J11" s="127"/>
      <c r="K11" s="127"/>
      <c r="L11" s="127"/>
      <c r="M11" s="127"/>
      <c r="Q11" s="122"/>
    </row>
    <row r="12" spans="1:19" x14ac:dyDescent="0.2">
      <c r="A12" s="131" t="s">
        <v>156</v>
      </c>
      <c r="B12" s="132"/>
      <c r="C12" s="127"/>
      <c r="D12" s="127"/>
      <c r="E12" s="127"/>
      <c r="F12" s="127"/>
      <c r="G12" s="127"/>
      <c r="H12" s="127"/>
      <c r="I12" s="127"/>
      <c r="J12" s="127"/>
      <c r="K12" s="127"/>
      <c r="L12" s="127"/>
      <c r="M12" s="127"/>
      <c r="Q12" s="122"/>
    </row>
    <row r="13" spans="1:19" x14ac:dyDescent="0.2">
      <c r="A13" s="131" t="s">
        <v>155</v>
      </c>
      <c r="B13" s="127"/>
      <c r="C13" s="127"/>
      <c r="D13" s="127"/>
      <c r="E13" s="127"/>
      <c r="F13" s="127"/>
      <c r="G13" s="127"/>
      <c r="H13" s="127"/>
      <c r="I13" s="127"/>
      <c r="J13" s="127"/>
      <c r="K13" s="127"/>
      <c r="L13" s="127"/>
      <c r="M13" s="127"/>
      <c r="Q13" s="122"/>
    </row>
    <row r="14" spans="1:19" x14ac:dyDescent="0.2">
      <c r="A14" s="130" t="s">
        <v>154</v>
      </c>
      <c r="B14" s="127"/>
      <c r="C14" s="127"/>
      <c r="D14" s="127"/>
      <c r="E14" s="127"/>
      <c r="F14" s="127"/>
      <c r="G14" s="127"/>
      <c r="H14" s="127"/>
      <c r="I14" s="127"/>
      <c r="J14" s="127"/>
      <c r="K14" s="127"/>
      <c r="L14" s="127"/>
      <c r="M14" s="127"/>
      <c r="Q14" s="114"/>
    </row>
    <row r="15" spans="1:19" x14ac:dyDescent="0.2">
      <c r="A15" s="129" t="s">
        <v>153</v>
      </c>
      <c r="B15" s="127">
        <f>'Compte de résultat'!D10/10</f>
        <v>45.840795000000007</v>
      </c>
      <c r="C15" s="127">
        <f>B15</f>
        <v>45.840795000000007</v>
      </c>
      <c r="D15" s="127">
        <f t="shared" ref="D15:M19" si="6">C15</f>
        <v>45.840795000000007</v>
      </c>
      <c r="E15" s="127">
        <f t="shared" si="6"/>
        <v>45.840795000000007</v>
      </c>
      <c r="F15" s="127">
        <f t="shared" si="6"/>
        <v>45.840795000000007</v>
      </c>
      <c r="G15" s="127">
        <f t="shared" si="6"/>
        <v>45.840795000000007</v>
      </c>
      <c r="H15" s="127"/>
      <c r="I15" s="127"/>
      <c r="J15" s="127">
        <f>G15</f>
        <v>45.840795000000007</v>
      </c>
      <c r="K15" s="127">
        <f t="shared" si="6"/>
        <v>45.840795000000007</v>
      </c>
      <c r="L15" s="127">
        <f t="shared" si="6"/>
        <v>45.840795000000007</v>
      </c>
      <c r="M15" s="127">
        <f t="shared" si="6"/>
        <v>45.840795000000007</v>
      </c>
      <c r="Q15" s="114"/>
    </row>
    <row r="16" spans="1:19" x14ac:dyDescent="0.2">
      <c r="A16" s="129" t="s">
        <v>152</v>
      </c>
      <c r="B16" s="127">
        <f>'Compte de résultat'!D7/10</f>
        <v>4322.6140295519999</v>
      </c>
      <c r="C16" s="127">
        <f>B16</f>
        <v>4322.6140295519999</v>
      </c>
      <c r="D16" s="127">
        <f t="shared" si="6"/>
        <v>4322.6140295519999</v>
      </c>
      <c r="E16" s="127">
        <f t="shared" si="6"/>
        <v>4322.6140295519999</v>
      </c>
      <c r="F16" s="127">
        <f t="shared" si="6"/>
        <v>4322.6140295519999</v>
      </c>
      <c r="G16" s="127">
        <f t="shared" si="6"/>
        <v>4322.6140295519999</v>
      </c>
      <c r="H16" s="127"/>
      <c r="I16" s="127">
        <f t="shared" si="6"/>
        <v>0</v>
      </c>
      <c r="J16" s="127">
        <f>G16</f>
        <v>4322.6140295519999</v>
      </c>
      <c r="K16" s="127">
        <f t="shared" si="6"/>
        <v>4322.6140295519999</v>
      </c>
      <c r="L16" s="127">
        <f t="shared" si="6"/>
        <v>4322.6140295519999</v>
      </c>
      <c r="M16" s="127">
        <f t="shared" si="6"/>
        <v>4322.6140295519999</v>
      </c>
      <c r="Q16" s="114"/>
    </row>
    <row r="17" spans="1:29" x14ac:dyDescent="0.2">
      <c r="A17" s="129" t="s">
        <v>151</v>
      </c>
      <c r="B17" s="127">
        <f>'Compte de résultat'!C9/12</f>
        <v>200</v>
      </c>
      <c r="C17" s="127">
        <f>B17</f>
        <v>200</v>
      </c>
      <c r="D17" s="127">
        <f t="shared" si="6"/>
        <v>200</v>
      </c>
      <c r="E17" s="127">
        <f t="shared" si="6"/>
        <v>200</v>
      </c>
      <c r="F17" s="127">
        <f t="shared" si="6"/>
        <v>200</v>
      </c>
      <c r="G17" s="127">
        <f t="shared" si="6"/>
        <v>200</v>
      </c>
      <c r="H17" s="127">
        <f t="shared" si="6"/>
        <v>200</v>
      </c>
      <c r="I17" s="127">
        <f t="shared" si="6"/>
        <v>200</v>
      </c>
      <c r="J17" s="127">
        <f t="shared" si="6"/>
        <v>200</v>
      </c>
      <c r="K17" s="127">
        <f t="shared" si="6"/>
        <v>200</v>
      </c>
      <c r="L17" s="127">
        <f t="shared" si="6"/>
        <v>200</v>
      </c>
      <c r="M17" s="127">
        <f t="shared" si="6"/>
        <v>200</v>
      </c>
      <c r="Q17" s="114"/>
    </row>
    <row r="18" spans="1:29" x14ac:dyDescent="0.2">
      <c r="A18" s="129" t="s">
        <v>150</v>
      </c>
      <c r="B18" s="127">
        <f>'Compte de résultat'!C12/10</f>
        <v>500</v>
      </c>
      <c r="C18" s="127">
        <f>B18</f>
        <v>500</v>
      </c>
      <c r="D18" s="127">
        <f t="shared" si="6"/>
        <v>500</v>
      </c>
      <c r="E18" s="127">
        <f t="shared" si="6"/>
        <v>500</v>
      </c>
      <c r="F18" s="127">
        <f t="shared" si="6"/>
        <v>500</v>
      </c>
      <c r="G18" s="127">
        <f t="shared" si="6"/>
        <v>500</v>
      </c>
      <c r="H18" s="127"/>
      <c r="I18" s="127"/>
      <c r="J18" s="127">
        <f>G18</f>
        <v>500</v>
      </c>
      <c r="K18" s="127">
        <f t="shared" si="6"/>
        <v>500</v>
      </c>
      <c r="L18" s="127">
        <f t="shared" si="6"/>
        <v>500</v>
      </c>
      <c r="M18" s="127">
        <f t="shared" si="6"/>
        <v>500</v>
      </c>
      <c r="Q18" s="114"/>
    </row>
    <row r="19" spans="1:29" x14ac:dyDescent="0.2">
      <c r="A19" s="129" t="s">
        <v>149</v>
      </c>
      <c r="B19" s="127">
        <f>'Compte de résultat'!C10</f>
        <v>426.4260000000001</v>
      </c>
      <c r="C19" s="127">
        <f>B19</f>
        <v>426.4260000000001</v>
      </c>
      <c r="D19" s="127">
        <f t="shared" si="6"/>
        <v>426.4260000000001</v>
      </c>
      <c r="E19" s="127">
        <f t="shared" si="6"/>
        <v>426.4260000000001</v>
      </c>
      <c r="F19" s="127">
        <f t="shared" si="6"/>
        <v>426.4260000000001</v>
      </c>
      <c r="G19" s="127">
        <f t="shared" si="6"/>
        <v>426.4260000000001</v>
      </c>
      <c r="H19" s="127">
        <f t="shared" si="6"/>
        <v>426.4260000000001</v>
      </c>
      <c r="I19" s="127">
        <f t="shared" si="6"/>
        <v>426.4260000000001</v>
      </c>
      <c r="J19" s="127">
        <f t="shared" si="6"/>
        <v>426.4260000000001</v>
      </c>
      <c r="K19" s="127">
        <f t="shared" si="6"/>
        <v>426.4260000000001</v>
      </c>
      <c r="L19" s="127">
        <f t="shared" si="6"/>
        <v>426.4260000000001</v>
      </c>
      <c r="M19" s="127">
        <f t="shared" si="6"/>
        <v>426.4260000000001</v>
      </c>
      <c r="Q19" s="114"/>
    </row>
    <row r="20" spans="1:29" x14ac:dyDescent="0.2">
      <c r="A20" s="128" t="s">
        <v>13</v>
      </c>
      <c r="B20" s="127"/>
      <c r="C20" s="127"/>
      <c r="D20" s="127"/>
      <c r="E20" s="127"/>
      <c r="F20" s="127"/>
      <c r="G20" s="127"/>
      <c r="H20" s="127"/>
      <c r="I20" s="127"/>
      <c r="J20" s="127"/>
      <c r="K20" s="127"/>
      <c r="L20" s="127"/>
      <c r="M20" s="127"/>
      <c r="Q20" s="114"/>
    </row>
    <row r="21" spans="1:29" x14ac:dyDescent="0.2">
      <c r="A21" s="128" t="s">
        <v>148</v>
      </c>
      <c r="B21" s="127">
        <f t="shared" ref="B21:M21" si="7">B35</f>
        <v>0</v>
      </c>
      <c r="C21" s="127">
        <f t="shared" si="7"/>
        <v>1942.5250000000001</v>
      </c>
      <c r="D21" s="127">
        <f t="shared" si="7"/>
        <v>1942.5250000000001</v>
      </c>
      <c r="E21" s="127">
        <f t="shared" si="7"/>
        <v>1942.5250000000001</v>
      </c>
      <c r="F21" s="127">
        <f t="shared" si="7"/>
        <v>1942.5250000000001</v>
      </c>
      <c r="G21" s="127">
        <f t="shared" si="7"/>
        <v>1942.5250000000001</v>
      </c>
      <c r="H21" s="127">
        <f t="shared" si="7"/>
        <v>1942.5250000000001</v>
      </c>
      <c r="I21" s="127">
        <f t="shared" si="7"/>
        <v>0</v>
      </c>
      <c r="J21" s="127">
        <f t="shared" si="7"/>
        <v>0</v>
      </c>
      <c r="K21" s="127">
        <f t="shared" si="7"/>
        <v>1942.5250000000001</v>
      </c>
      <c r="L21" s="127">
        <f t="shared" si="7"/>
        <v>1942.5250000000001</v>
      </c>
      <c r="M21" s="127">
        <f t="shared" si="7"/>
        <v>1942.5250000000001</v>
      </c>
      <c r="Q21" s="114"/>
    </row>
    <row r="22" spans="1:29" x14ac:dyDescent="0.2">
      <c r="A22" s="126" t="s">
        <v>147</v>
      </c>
      <c r="B22" s="125">
        <f t="shared" ref="B22:M22" si="8">B36</f>
        <v>0</v>
      </c>
      <c r="C22" s="125">
        <f t="shared" si="8"/>
        <v>0</v>
      </c>
      <c r="D22" s="125">
        <f t="shared" si="8"/>
        <v>0</v>
      </c>
      <c r="E22" s="125">
        <f t="shared" si="8"/>
        <v>0</v>
      </c>
      <c r="F22" s="125">
        <f t="shared" si="8"/>
        <v>0</v>
      </c>
      <c r="G22" s="125">
        <f t="shared" si="8"/>
        <v>0</v>
      </c>
      <c r="H22" s="125">
        <f t="shared" si="8"/>
        <v>0</v>
      </c>
      <c r="I22" s="125">
        <f t="shared" si="8"/>
        <v>0</v>
      </c>
      <c r="J22" s="125">
        <f t="shared" si="8"/>
        <v>0</v>
      </c>
      <c r="K22" s="125">
        <f t="shared" si="8"/>
        <v>0</v>
      </c>
      <c r="L22" s="125">
        <f t="shared" si="8"/>
        <v>0</v>
      </c>
      <c r="M22" s="125">
        <f t="shared" si="8"/>
        <v>0</v>
      </c>
    </row>
    <row r="23" spans="1:29" x14ac:dyDescent="0.2">
      <c r="A23" s="124" t="s">
        <v>146</v>
      </c>
      <c r="B23" s="123"/>
      <c r="C23" s="123"/>
      <c r="D23" s="123"/>
      <c r="E23" s="123"/>
      <c r="F23" s="123"/>
      <c r="G23" s="123"/>
      <c r="H23" s="123"/>
      <c r="I23" s="123"/>
      <c r="J23" s="123"/>
      <c r="K23" s="123"/>
      <c r="L23" s="123"/>
      <c r="M23" s="123"/>
      <c r="Q23" s="12"/>
      <c r="R23" s="12"/>
      <c r="S23" s="12"/>
      <c r="T23" s="12"/>
      <c r="U23" s="12"/>
      <c r="V23" s="12"/>
      <c r="W23" s="12"/>
      <c r="X23" s="12"/>
      <c r="Y23" s="12"/>
      <c r="Z23" s="12"/>
      <c r="AA23" s="12"/>
      <c r="AB23" s="12"/>
      <c r="AC23" s="12"/>
    </row>
    <row r="24" spans="1:29" ht="16" thickBot="1" x14ac:dyDescent="0.25">
      <c r="A24" s="121" t="s">
        <v>145</v>
      </c>
      <c r="B24" s="120"/>
      <c r="C24" s="120">
        <f t="shared" ref="C24:M24" si="9">B26</f>
        <v>9303.1694263024037</v>
      </c>
      <c r="D24" s="120">
        <f t="shared" si="9"/>
        <v>16663.813852604806</v>
      </c>
      <c r="E24" s="120">
        <f t="shared" si="9"/>
        <v>24024.458278907208</v>
      </c>
      <c r="F24" s="120">
        <f t="shared" si="9"/>
        <v>31385.102705209611</v>
      </c>
      <c r="G24" s="120">
        <f t="shared" si="9"/>
        <v>38745.747131512013</v>
      </c>
      <c r="H24" s="120">
        <f t="shared" si="9"/>
        <v>46106.391557814415</v>
      </c>
      <c r="I24" s="120">
        <f t="shared" si="9"/>
        <v>24112.190557814414</v>
      </c>
      <c r="J24" s="120">
        <f t="shared" si="9"/>
        <v>23485.764557814415</v>
      </c>
      <c r="K24" s="120">
        <f t="shared" si="9"/>
        <v>52214.183984116818</v>
      </c>
      <c r="L24" s="120">
        <f t="shared" si="9"/>
        <v>59574.828410419221</v>
      </c>
      <c r="M24" s="120">
        <f t="shared" si="9"/>
        <v>66935.47283672163</v>
      </c>
      <c r="Q24" s="12"/>
      <c r="R24" s="12"/>
      <c r="S24" s="12"/>
      <c r="T24" s="12"/>
      <c r="U24" s="12"/>
      <c r="V24" s="12"/>
      <c r="W24" s="12"/>
      <c r="X24" s="12"/>
      <c r="Y24" s="12"/>
      <c r="Z24" s="12"/>
      <c r="AA24" s="12"/>
      <c r="AB24" s="12"/>
      <c r="AC24" s="12"/>
    </row>
    <row r="25" spans="1:29" ht="16" thickBot="1" x14ac:dyDescent="0.25">
      <c r="A25" s="149" t="s">
        <v>144</v>
      </c>
      <c r="B25" s="150">
        <f t="shared" ref="B25:M25" si="10">SUM(B3:B4)-SUM(B6:B22)</f>
        <v>9303.1694263024037</v>
      </c>
      <c r="C25" s="150">
        <f t="shared" si="10"/>
        <v>7360.6444263024023</v>
      </c>
      <c r="D25" s="150">
        <f t="shared" si="10"/>
        <v>7360.6444263024023</v>
      </c>
      <c r="E25" s="150">
        <f t="shared" si="10"/>
        <v>7360.6444263024023</v>
      </c>
      <c r="F25" s="150">
        <f t="shared" si="10"/>
        <v>7360.6444263024023</v>
      </c>
      <c r="G25" s="150">
        <f t="shared" si="10"/>
        <v>7360.6444263024023</v>
      </c>
      <c r="H25" s="150">
        <f t="shared" si="10"/>
        <v>-21994.201000000001</v>
      </c>
      <c r="I25" s="150">
        <f t="shared" si="10"/>
        <v>-626.42600000000016</v>
      </c>
      <c r="J25" s="150">
        <f t="shared" si="10"/>
        <v>28728.419426302404</v>
      </c>
      <c r="K25" s="150">
        <f t="shared" si="10"/>
        <v>7360.6444263024023</v>
      </c>
      <c r="L25" s="150">
        <f t="shared" si="10"/>
        <v>7360.6444263024023</v>
      </c>
      <c r="M25" s="151">
        <f t="shared" si="10"/>
        <v>7360.6444263024023</v>
      </c>
      <c r="Q25" s="12"/>
      <c r="R25" s="12"/>
      <c r="S25" s="12"/>
      <c r="T25" s="12"/>
      <c r="U25" s="12"/>
      <c r="V25" s="12"/>
      <c r="W25" s="12"/>
      <c r="X25" s="12"/>
      <c r="Y25" s="12"/>
      <c r="Z25" s="12"/>
      <c r="AA25" s="12"/>
      <c r="AB25" s="12"/>
      <c r="AC25" s="12"/>
    </row>
    <row r="26" spans="1:29" ht="16" thickBot="1" x14ac:dyDescent="0.25">
      <c r="A26" s="152" t="s">
        <v>143</v>
      </c>
      <c r="B26" s="153">
        <f t="shared" ref="B26:M26" si="11">SUM(B3:B4)-SUM(B6:B22)+B24</f>
        <v>9303.1694263024037</v>
      </c>
      <c r="C26" s="153">
        <f t="shared" si="11"/>
        <v>16663.813852604806</v>
      </c>
      <c r="D26" s="153">
        <f t="shared" si="11"/>
        <v>24024.458278907208</v>
      </c>
      <c r="E26" s="153">
        <f t="shared" si="11"/>
        <v>31385.102705209611</v>
      </c>
      <c r="F26" s="153">
        <f t="shared" si="11"/>
        <v>38745.747131512013</v>
      </c>
      <c r="G26" s="153">
        <f t="shared" si="11"/>
        <v>46106.391557814415</v>
      </c>
      <c r="H26" s="153">
        <f t="shared" si="11"/>
        <v>24112.190557814414</v>
      </c>
      <c r="I26" s="153">
        <f t="shared" si="11"/>
        <v>23485.764557814415</v>
      </c>
      <c r="J26" s="153">
        <f t="shared" si="11"/>
        <v>52214.183984116818</v>
      </c>
      <c r="K26" s="153">
        <f t="shared" si="11"/>
        <v>59574.828410419221</v>
      </c>
      <c r="L26" s="153">
        <f t="shared" si="11"/>
        <v>66935.47283672163</v>
      </c>
      <c r="M26" s="154">
        <f t="shared" si="11"/>
        <v>74296.117263024033</v>
      </c>
      <c r="R26" s="122"/>
      <c r="S26" s="122"/>
      <c r="T26" s="122"/>
      <c r="U26" s="122"/>
      <c r="V26" s="122"/>
      <c r="W26" s="122"/>
      <c r="X26" s="122"/>
      <c r="Y26" s="122"/>
      <c r="Z26" s="122"/>
      <c r="AA26" s="122"/>
      <c r="AB26" s="122"/>
      <c r="AC26" s="122"/>
    </row>
    <row r="27" spans="1:29" x14ac:dyDescent="0.2">
      <c r="R27" s="114"/>
      <c r="S27" s="114"/>
      <c r="T27" s="114"/>
      <c r="U27" s="114"/>
      <c r="V27" s="114"/>
      <c r="W27" s="114"/>
      <c r="X27" s="114"/>
      <c r="Y27" s="114"/>
      <c r="Z27" s="114"/>
      <c r="AA27" s="114"/>
      <c r="AB27" s="114"/>
      <c r="AC27" s="114"/>
    </row>
    <row r="28" spans="1:29" x14ac:dyDescent="0.2">
      <c r="H28" s="111"/>
      <c r="R28" s="114"/>
      <c r="S28" s="114"/>
      <c r="T28" s="114"/>
      <c r="U28" s="114"/>
      <c r="V28" s="114"/>
      <c r="W28" s="114"/>
      <c r="X28" s="114"/>
      <c r="Y28" s="114"/>
      <c r="Z28" s="114"/>
      <c r="AA28" s="114"/>
      <c r="AB28" s="114"/>
      <c r="AC28" s="114"/>
    </row>
    <row r="29" spans="1:29" x14ac:dyDescent="0.2">
      <c r="H29" s="111"/>
      <c r="R29" s="114"/>
      <c r="S29" s="114"/>
      <c r="T29" s="114"/>
      <c r="U29" s="114"/>
      <c r="V29" s="114"/>
      <c r="W29" s="114"/>
      <c r="X29" s="114"/>
      <c r="Y29" s="114"/>
      <c r="Z29" s="114"/>
      <c r="AA29" s="114"/>
      <c r="AB29" s="114"/>
      <c r="AC29" s="114"/>
    </row>
    <row r="30" spans="1:29" x14ac:dyDescent="0.2">
      <c r="R30" s="114"/>
      <c r="S30" s="114"/>
      <c r="T30" s="114"/>
      <c r="U30" s="114"/>
      <c r="V30" s="114"/>
      <c r="W30" s="114"/>
      <c r="X30" s="114"/>
      <c r="Y30" s="114"/>
      <c r="Z30" s="114"/>
      <c r="AA30" s="114"/>
      <c r="AB30" s="114"/>
      <c r="AC30" s="114"/>
    </row>
    <row r="31" spans="1:29" x14ac:dyDescent="0.2">
      <c r="Q31" s="114"/>
      <c r="R31" s="114"/>
      <c r="S31" s="114"/>
      <c r="T31" s="114"/>
      <c r="U31" s="114"/>
      <c r="V31" s="114"/>
      <c r="W31" s="114"/>
      <c r="X31" s="114"/>
      <c r="Y31" s="114"/>
      <c r="Z31" s="114"/>
      <c r="AA31" s="114"/>
      <c r="AB31" s="114"/>
    </row>
    <row r="32" spans="1:29" x14ac:dyDescent="0.2">
      <c r="A32" s="2" t="s">
        <v>142</v>
      </c>
      <c r="B32" s="1" t="s">
        <v>48</v>
      </c>
      <c r="C32" s="1" t="s">
        <v>141</v>
      </c>
      <c r="D32" s="1" t="s">
        <v>140</v>
      </c>
      <c r="E32" s="1" t="s">
        <v>139</v>
      </c>
      <c r="F32" s="1" t="s">
        <v>138</v>
      </c>
      <c r="G32" s="1" t="s">
        <v>137</v>
      </c>
      <c r="H32" s="1" t="s">
        <v>136</v>
      </c>
      <c r="I32" s="1" t="s">
        <v>135</v>
      </c>
      <c r="J32" s="1" t="s">
        <v>134</v>
      </c>
      <c r="K32" s="1" t="s">
        <v>133</v>
      </c>
      <c r="L32" s="1" t="s">
        <v>132</v>
      </c>
      <c r="M32" s="1" t="s">
        <v>131</v>
      </c>
      <c r="Q32" s="114"/>
      <c r="R32" s="114"/>
      <c r="S32" s="114"/>
      <c r="T32" s="114"/>
      <c r="U32" s="114"/>
      <c r="V32" s="114"/>
      <c r="W32" s="114"/>
      <c r="X32" s="114"/>
      <c r="Y32" s="114"/>
      <c r="Z32" s="114"/>
      <c r="AA32" s="114"/>
      <c r="AB32" s="114"/>
    </row>
    <row r="33" spans="1:40" x14ac:dyDescent="0.2">
      <c r="A33" s="1" t="s">
        <v>130</v>
      </c>
      <c r="B33" s="5"/>
      <c r="C33" s="5">
        <f t="shared" ref="C33:M33" si="12">B37</f>
        <v>3314.4300000000003</v>
      </c>
      <c r="D33" s="5">
        <f t="shared" si="12"/>
        <v>1371.9050000000002</v>
      </c>
      <c r="E33" s="5">
        <f t="shared" si="12"/>
        <v>1371.9050000000002</v>
      </c>
      <c r="F33" s="5">
        <f t="shared" si="12"/>
        <v>1371.9050000000002</v>
      </c>
      <c r="G33" s="5">
        <f t="shared" si="12"/>
        <v>1371.9050000000002</v>
      </c>
      <c r="H33" s="5">
        <f t="shared" si="12"/>
        <v>1371.9050000000002</v>
      </c>
      <c r="I33" s="5">
        <f t="shared" si="12"/>
        <v>-1942.5250000000001</v>
      </c>
      <c r="J33" s="5">
        <f t="shared" si="12"/>
        <v>0</v>
      </c>
      <c r="K33" s="5">
        <f t="shared" si="12"/>
        <v>3314.4300000000003</v>
      </c>
      <c r="L33" s="5">
        <f t="shared" si="12"/>
        <v>1371.9050000000002</v>
      </c>
      <c r="M33" s="5">
        <f t="shared" si="12"/>
        <v>1371.9050000000002</v>
      </c>
      <c r="Q33" s="114"/>
      <c r="R33" s="114"/>
      <c r="S33" s="114"/>
      <c r="T33" s="114"/>
      <c r="U33" s="114"/>
      <c r="V33" s="114"/>
      <c r="W33" s="114"/>
      <c r="X33" s="114"/>
      <c r="Y33" s="114"/>
      <c r="Z33" s="114"/>
      <c r="AA33" s="114"/>
      <c r="AB33" s="114"/>
    </row>
    <row r="34" spans="1:40" ht="32" x14ac:dyDescent="0.2">
      <c r="A34" s="115" t="s">
        <v>129</v>
      </c>
      <c r="B34" s="119">
        <f t="shared" ref="B34:M34" si="13">B3*0.1</f>
        <v>3314.4300000000003</v>
      </c>
      <c r="C34" s="119">
        <f t="shared" si="13"/>
        <v>3314.4300000000003</v>
      </c>
      <c r="D34" s="119">
        <f t="shared" si="13"/>
        <v>3314.4300000000003</v>
      </c>
      <c r="E34" s="119">
        <f t="shared" si="13"/>
        <v>3314.4300000000003</v>
      </c>
      <c r="F34" s="119">
        <f t="shared" si="13"/>
        <v>3314.4300000000003</v>
      </c>
      <c r="G34" s="119">
        <f t="shared" si="13"/>
        <v>3314.4300000000003</v>
      </c>
      <c r="H34" s="119">
        <f t="shared" si="13"/>
        <v>0</v>
      </c>
      <c r="I34" s="119">
        <f t="shared" si="13"/>
        <v>0</v>
      </c>
      <c r="J34" s="119">
        <f t="shared" si="13"/>
        <v>3314.4300000000003</v>
      </c>
      <c r="K34" s="119">
        <f t="shared" si="13"/>
        <v>3314.4300000000003</v>
      </c>
      <c r="L34" s="119">
        <f t="shared" si="13"/>
        <v>3314.4300000000003</v>
      </c>
      <c r="M34" s="119">
        <f t="shared" si="13"/>
        <v>3314.4300000000003</v>
      </c>
      <c r="Q34" s="114"/>
      <c r="R34" s="114"/>
      <c r="S34" s="114"/>
      <c r="T34" s="114"/>
      <c r="U34" s="114"/>
      <c r="V34" s="114"/>
      <c r="W34" s="114"/>
      <c r="X34" s="114"/>
      <c r="Y34" s="114"/>
      <c r="Z34" s="114"/>
      <c r="AA34" s="114"/>
      <c r="AB34" s="114"/>
    </row>
    <row r="35" spans="1:40" x14ac:dyDescent="0.2">
      <c r="A35" s="118" t="s">
        <v>128</v>
      </c>
      <c r="B35" s="5"/>
      <c r="C35" s="5">
        <f t="shared" ref="C35:M35" si="14">C6*10%</f>
        <v>1942.5250000000001</v>
      </c>
      <c r="D35" s="5">
        <f t="shared" si="14"/>
        <v>1942.5250000000001</v>
      </c>
      <c r="E35" s="5">
        <f t="shared" si="14"/>
        <v>1942.5250000000001</v>
      </c>
      <c r="F35" s="5">
        <f t="shared" si="14"/>
        <v>1942.5250000000001</v>
      </c>
      <c r="G35" s="5">
        <f t="shared" si="14"/>
        <v>1942.5250000000001</v>
      </c>
      <c r="H35" s="5">
        <f t="shared" si="14"/>
        <v>1942.5250000000001</v>
      </c>
      <c r="I35" s="5">
        <f t="shared" si="14"/>
        <v>0</v>
      </c>
      <c r="J35" s="5">
        <f t="shared" si="14"/>
        <v>0</v>
      </c>
      <c r="K35" s="5">
        <f t="shared" si="14"/>
        <v>1942.5250000000001</v>
      </c>
      <c r="L35" s="117">
        <f t="shared" si="14"/>
        <v>1942.5250000000001</v>
      </c>
      <c r="M35" s="5">
        <f t="shared" si="14"/>
        <v>1942.5250000000001</v>
      </c>
    </row>
    <row r="36" spans="1:40" x14ac:dyDescent="0.2">
      <c r="A36" s="1" t="s">
        <v>127</v>
      </c>
      <c r="B36" s="116">
        <f t="shared" ref="B36:M36" si="15">B7*0.2</f>
        <v>0</v>
      </c>
      <c r="C36" s="116">
        <f t="shared" si="15"/>
        <v>0</v>
      </c>
      <c r="D36" s="116">
        <f t="shared" si="15"/>
        <v>0</v>
      </c>
      <c r="E36" s="116">
        <f t="shared" si="15"/>
        <v>0</v>
      </c>
      <c r="F36" s="116">
        <f t="shared" si="15"/>
        <v>0</v>
      </c>
      <c r="G36" s="116">
        <f t="shared" si="15"/>
        <v>0</v>
      </c>
      <c r="H36" s="116">
        <f t="shared" si="15"/>
        <v>0</v>
      </c>
      <c r="I36" s="116">
        <f t="shared" si="15"/>
        <v>0</v>
      </c>
      <c r="J36" s="116">
        <f t="shared" si="15"/>
        <v>0</v>
      </c>
      <c r="K36" s="116">
        <f t="shared" si="15"/>
        <v>0</v>
      </c>
      <c r="L36" s="116">
        <f t="shared" si="15"/>
        <v>0</v>
      </c>
      <c r="M36" s="116">
        <f t="shared" si="15"/>
        <v>0</v>
      </c>
    </row>
    <row r="37" spans="1:40" x14ac:dyDescent="0.2">
      <c r="A37" s="1" t="s">
        <v>126</v>
      </c>
      <c r="B37" s="5">
        <f t="shared" ref="B37:M37" si="16">B34-B35-B36</f>
        <v>3314.4300000000003</v>
      </c>
      <c r="C37" s="5">
        <f t="shared" si="16"/>
        <v>1371.9050000000002</v>
      </c>
      <c r="D37" s="5">
        <f t="shared" si="16"/>
        <v>1371.9050000000002</v>
      </c>
      <c r="E37" s="5">
        <f t="shared" si="16"/>
        <v>1371.9050000000002</v>
      </c>
      <c r="F37" s="5">
        <f t="shared" si="16"/>
        <v>1371.9050000000002</v>
      </c>
      <c r="G37" s="5">
        <f t="shared" si="16"/>
        <v>1371.9050000000002</v>
      </c>
      <c r="H37" s="5">
        <f t="shared" si="16"/>
        <v>-1942.5250000000001</v>
      </c>
      <c r="I37" s="5">
        <f t="shared" si="16"/>
        <v>0</v>
      </c>
      <c r="J37" s="5">
        <f t="shared" si="16"/>
        <v>3314.4300000000003</v>
      </c>
      <c r="K37" s="5">
        <f t="shared" si="16"/>
        <v>1371.9050000000002</v>
      </c>
      <c r="L37" s="5">
        <f t="shared" si="16"/>
        <v>1371.9050000000002</v>
      </c>
      <c r="M37" s="5">
        <f t="shared" si="16"/>
        <v>1371.9050000000002</v>
      </c>
    </row>
    <row r="38" spans="1:40" ht="16" x14ac:dyDescent="0.2">
      <c r="A38" s="115" t="s">
        <v>125</v>
      </c>
      <c r="B38" s="5">
        <f t="shared" ref="B38:M38" si="17">B33</f>
        <v>0</v>
      </c>
      <c r="C38" s="5">
        <f t="shared" si="17"/>
        <v>3314.4300000000003</v>
      </c>
      <c r="D38" s="5">
        <f t="shared" si="17"/>
        <v>1371.9050000000002</v>
      </c>
      <c r="E38" s="5">
        <f t="shared" si="17"/>
        <v>1371.9050000000002</v>
      </c>
      <c r="F38" s="5">
        <f t="shared" si="17"/>
        <v>1371.9050000000002</v>
      </c>
      <c r="G38" s="5">
        <f t="shared" si="17"/>
        <v>1371.9050000000002</v>
      </c>
      <c r="H38" s="5">
        <f t="shared" si="17"/>
        <v>1371.9050000000002</v>
      </c>
      <c r="I38" s="5">
        <f t="shared" si="17"/>
        <v>-1942.5250000000001</v>
      </c>
      <c r="J38" s="5">
        <f t="shared" si="17"/>
        <v>0</v>
      </c>
      <c r="K38" s="5">
        <f t="shared" si="17"/>
        <v>3314.4300000000003</v>
      </c>
      <c r="L38" s="5">
        <f t="shared" si="17"/>
        <v>1371.9050000000002</v>
      </c>
      <c r="M38" s="5">
        <f t="shared" si="17"/>
        <v>1371.9050000000002</v>
      </c>
      <c r="AB38" s="12"/>
      <c r="AC38" s="12"/>
    </row>
    <row r="39" spans="1:40" x14ac:dyDescent="0.2">
      <c r="AC39" s="114"/>
    </row>
    <row r="40" spans="1:40" x14ac:dyDescent="0.2">
      <c r="AC40" s="114"/>
    </row>
    <row r="41" spans="1:40" x14ac:dyDescent="0.2">
      <c r="AC41" s="114"/>
    </row>
    <row r="42" spans="1:40" ht="13.75" customHeight="1" x14ac:dyDescent="0.2">
      <c r="AC42" s="114"/>
    </row>
    <row r="43" spans="1:40" x14ac:dyDescent="0.2">
      <c r="AC43" s="114"/>
    </row>
    <row r="45" spans="1:40" x14ac:dyDescent="0.2">
      <c r="B45" s="12"/>
      <c r="C45" s="12"/>
      <c r="D45" s="12"/>
      <c r="E45" s="12"/>
      <c r="F45" s="12"/>
      <c r="G45" s="12"/>
      <c r="H45" s="12"/>
      <c r="I45" s="12"/>
      <c r="J45" s="12"/>
      <c r="K45" s="12"/>
      <c r="L45" s="12"/>
      <c r="M45" s="12"/>
    </row>
    <row r="46" spans="1:40" x14ac:dyDescent="0.2">
      <c r="A46" s="113"/>
      <c r="B46" s="111"/>
      <c r="C46" s="111"/>
      <c r="D46" s="111"/>
      <c r="E46" s="111"/>
      <c r="F46" s="111"/>
      <c r="G46" s="111"/>
      <c r="H46" s="111"/>
      <c r="I46" s="111"/>
      <c r="J46" s="111"/>
      <c r="K46" s="111"/>
      <c r="L46" s="111"/>
      <c r="M46" s="111"/>
    </row>
    <row r="47" spans="1:40" x14ac:dyDescent="0.2">
      <c r="A47" s="112"/>
      <c r="B47" s="111"/>
      <c r="C47" s="111"/>
      <c r="D47" s="111"/>
      <c r="E47" s="111"/>
      <c r="F47" s="111"/>
      <c r="G47" s="111"/>
      <c r="H47" s="111"/>
      <c r="I47" s="111"/>
      <c r="J47" s="111"/>
      <c r="K47" s="111"/>
      <c r="L47" s="111"/>
      <c r="M47" s="111"/>
    </row>
    <row r="48" spans="1:40" x14ac:dyDescent="0.2">
      <c r="A48" s="112"/>
      <c r="B48" s="111"/>
      <c r="C48" s="111"/>
      <c r="D48" s="111"/>
      <c r="E48" s="111"/>
      <c r="F48" s="111"/>
      <c r="G48" s="111"/>
      <c r="H48" s="111"/>
      <c r="I48" s="111"/>
      <c r="J48" s="111"/>
      <c r="K48" s="111"/>
      <c r="L48" s="111"/>
      <c r="M48" s="111"/>
      <c r="AB48" s="12"/>
      <c r="AC48" s="84"/>
      <c r="AD48" s="84"/>
      <c r="AE48" s="84"/>
      <c r="AF48" s="84"/>
      <c r="AG48" s="84"/>
      <c r="AH48" s="84"/>
      <c r="AI48" s="84"/>
      <c r="AJ48" s="84"/>
      <c r="AK48" s="84"/>
      <c r="AL48" s="84"/>
      <c r="AM48" s="84"/>
      <c r="AN48" s="84"/>
    </row>
    <row r="49" spans="1:40" x14ac:dyDescent="0.2">
      <c r="A49" s="112"/>
      <c r="B49" s="111"/>
      <c r="C49" s="111"/>
      <c r="D49" s="111"/>
      <c r="E49" s="111"/>
      <c r="F49" s="111"/>
      <c r="G49" s="111"/>
      <c r="H49" s="111"/>
      <c r="I49" s="111"/>
      <c r="J49" s="111"/>
      <c r="K49" s="111"/>
      <c r="L49" s="111"/>
      <c r="M49" s="111"/>
      <c r="AC49" s="53"/>
      <c r="AD49" s="53"/>
      <c r="AE49" s="53"/>
      <c r="AF49" s="53"/>
      <c r="AG49" s="53"/>
      <c r="AH49" s="53"/>
      <c r="AI49" s="53"/>
      <c r="AJ49" s="53"/>
      <c r="AK49" s="53"/>
      <c r="AL49" s="53"/>
      <c r="AM49" s="53"/>
      <c r="AN49" s="53"/>
    </row>
    <row r="50" spans="1:40" x14ac:dyDescent="0.2">
      <c r="A50" s="112"/>
      <c r="B50" s="111"/>
      <c r="C50" s="111"/>
      <c r="D50" s="111"/>
      <c r="E50" s="111"/>
      <c r="F50" s="111"/>
      <c r="G50" s="111"/>
      <c r="H50" s="111"/>
      <c r="I50" s="111"/>
      <c r="J50" s="111"/>
      <c r="K50" s="111"/>
      <c r="L50" s="111"/>
      <c r="M50" s="111"/>
      <c r="AC50" s="53"/>
      <c r="AD50" s="53"/>
      <c r="AE50" s="53"/>
      <c r="AF50" s="53"/>
      <c r="AG50" s="53"/>
      <c r="AH50" s="53"/>
      <c r="AI50" s="53"/>
      <c r="AJ50" s="53"/>
      <c r="AK50" s="53"/>
      <c r="AL50" s="53"/>
      <c r="AM50" s="53"/>
      <c r="AN50" s="53"/>
    </row>
    <row r="51" spans="1:40" x14ac:dyDescent="0.2">
      <c r="A51" s="112"/>
      <c r="B51" s="111"/>
      <c r="C51" s="111"/>
      <c r="D51" s="111"/>
      <c r="E51" s="111"/>
      <c r="F51" s="111"/>
      <c r="G51" s="111"/>
      <c r="H51" s="111"/>
      <c r="I51" s="111"/>
      <c r="J51" s="111"/>
      <c r="K51" s="111"/>
      <c r="L51" s="111"/>
      <c r="M51" s="111"/>
      <c r="AC51" s="53"/>
      <c r="AD51" s="53"/>
      <c r="AE51" s="53"/>
      <c r="AF51" s="53"/>
      <c r="AG51" s="53"/>
      <c r="AH51" s="53"/>
      <c r="AI51" s="53"/>
      <c r="AJ51" s="53"/>
      <c r="AK51" s="53"/>
      <c r="AL51" s="53"/>
      <c r="AM51" s="53"/>
      <c r="AN51" s="53"/>
    </row>
    <row r="52" spans="1:40" x14ac:dyDescent="0.2">
      <c r="A52" s="112"/>
      <c r="B52" s="111"/>
      <c r="C52" s="111"/>
      <c r="D52" s="111"/>
      <c r="E52" s="111"/>
      <c r="F52" s="111"/>
      <c r="G52" s="111"/>
      <c r="H52" s="111"/>
      <c r="I52" s="111"/>
      <c r="J52" s="111"/>
      <c r="K52" s="111"/>
      <c r="L52" s="111"/>
      <c r="M52" s="111"/>
      <c r="AC52" s="53"/>
      <c r="AD52" s="53"/>
      <c r="AE52" s="53"/>
      <c r="AF52" s="53"/>
      <c r="AG52" s="53"/>
      <c r="AH52" s="53"/>
      <c r="AI52" s="53"/>
      <c r="AJ52" s="53"/>
      <c r="AK52" s="53"/>
      <c r="AL52" s="53"/>
      <c r="AM52" s="53"/>
      <c r="AN52" s="53"/>
    </row>
    <row r="53" spans="1:40" x14ac:dyDescent="0.2">
      <c r="A53" s="112"/>
      <c r="B53" s="111"/>
      <c r="C53" s="111"/>
      <c r="D53" s="111"/>
      <c r="E53" s="111"/>
      <c r="F53" s="111"/>
      <c r="G53" s="111"/>
      <c r="H53" s="111"/>
      <c r="I53" s="111"/>
      <c r="J53" s="111"/>
      <c r="K53" s="111"/>
      <c r="L53" s="111"/>
      <c r="M53" s="111"/>
      <c r="AB53" s="62"/>
      <c r="AC53" s="53"/>
      <c r="AD53" s="53"/>
      <c r="AE53" s="53"/>
      <c r="AF53" s="53"/>
      <c r="AG53" s="53"/>
      <c r="AH53" s="53"/>
      <c r="AI53" s="53"/>
      <c r="AJ53" s="53"/>
      <c r="AK53" s="53"/>
      <c r="AL53" s="53"/>
      <c r="AM53" s="53"/>
      <c r="AN53" s="53"/>
    </row>
    <row r="54" spans="1:40" x14ac:dyDescent="0.2">
      <c r="A54" s="12"/>
      <c r="B54" s="111"/>
      <c r="C54" s="111"/>
      <c r="D54" s="111"/>
      <c r="E54" s="111"/>
      <c r="F54" s="111"/>
      <c r="G54" s="111"/>
      <c r="H54" s="111"/>
      <c r="I54" s="111"/>
      <c r="J54" s="111"/>
      <c r="K54" s="111"/>
      <c r="L54" s="111"/>
      <c r="M54" s="111"/>
      <c r="AB54" s="12"/>
      <c r="AC54" s="12"/>
      <c r="AD54" s="12"/>
      <c r="AE54" s="12"/>
      <c r="AF54" s="12"/>
      <c r="AG54" s="12"/>
      <c r="AH54" s="12"/>
      <c r="AI54" s="12"/>
      <c r="AJ54" s="12"/>
      <c r="AK54" s="12"/>
      <c r="AL54" s="12"/>
      <c r="AM54" s="12"/>
      <c r="AN54" s="12"/>
    </row>
    <row r="55" spans="1:40" x14ac:dyDescent="0.2">
      <c r="AC55" s="53"/>
      <c r="AD55" s="53"/>
      <c r="AE55" s="53"/>
      <c r="AF55" s="53"/>
      <c r="AG55" s="53"/>
      <c r="AH55" s="53"/>
      <c r="AI55" s="53"/>
      <c r="AJ55" s="53"/>
      <c r="AK55" s="53"/>
      <c r="AL55" s="53"/>
      <c r="AM55" s="53"/>
      <c r="AN55" s="53"/>
    </row>
    <row r="56" spans="1:40" x14ac:dyDescent="0.2">
      <c r="AC56" s="53"/>
      <c r="AD56" s="53"/>
      <c r="AE56" s="53"/>
      <c r="AF56" s="53"/>
      <c r="AG56" s="53"/>
      <c r="AH56" s="53"/>
      <c r="AI56" s="53"/>
      <c r="AJ56" s="53"/>
      <c r="AK56" s="53"/>
      <c r="AL56" s="53"/>
      <c r="AM56" s="53"/>
      <c r="AN56" s="53"/>
    </row>
    <row r="57" spans="1:40" x14ac:dyDescent="0.2">
      <c r="AC57" s="53"/>
      <c r="AD57" s="53"/>
      <c r="AE57" s="53"/>
      <c r="AF57" s="53"/>
      <c r="AG57" s="53"/>
      <c r="AH57" s="53"/>
      <c r="AI57" s="53"/>
      <c r="AJ57" s="53"/>
      <c r="AK57" s="53"/>
      <c r="AL57" s="53"/>
      <c r="AM57" s="53"/>
      <c r="AN57" s="53"/>
    </row>
    <row r="58" spans="1:40" x14ac:dyDescent="0.2">
      <c r="AC58" s="53"/>
      <c r="AD58" s="53"/>
      <c r="AE58" s="53"/>
      <c r="AF58" s="53"/>
      <c r="AG58" s="53"/>
      <c r="AH58" s="53"/>
      <c r="AI58" s="53"/>
      <c r="AJ58" s="53"/>
      <c r="AK58" s="53"/>
      <c r="AL58" s="53"/>
      <c r="AM58" s="53"/>
      <c r="AN58" s="53"/>
    </row>
    <row r="59" spans="1:40" x14ac:dyDescent="0.2">
      <c r="AB59" s="62"/>
      <c r="AC59" s="53"/>
      <c r="AD59" s="53"/>
      <c r="AE59" s="53"/>
      <c r="AF59" s="53"/>
      <c r="AG59" s="53"/>
      <c r="AH59" s="53"/>
      <c r="AI59" s="53"/>
      <c r="AJ59" s="53"/>
      <c r="AK59" s="53"/>
      <c r="AL59" s="53"/>
      <c r="AM59" s="53"/>
      <c r="AN59" s="53"/>
    </row>
    <row r="60" spans="1:40" ht="21" x14ac:dyDescent="0.25">
      <c r="Q60" s="110"/>
      <c r="AB60" s="12"/>
      <c r="AC60" s="12"/>
      <c r="AD60" s="12"/>
      <c r="AE60" s="12"/>
      <c r="AF60" s="12"/>
      <c r="AG60" s="12"/>
      <c r="AH60" s="12"/>
      <c r="AI60" s="12"/>
      <c r="AJ60" s="12"/>
      <c r="AK60" s="12"/>
      <c r="AL60" s="12"/>
      <c r="AM60" s="12"/>
      <c r="AN60" s="12"/>
    </row>
    <row r="61" spans="1:40" ht="21" x14ac:dyDescent="0.25">
      <c r="Q61" s="110"/>
      <c r="AC61" s="53"/>
      <c r="AD61" s="53"/>
      <c r="AE61" s="53"/>
      <c r="AF61" s="53"/>
      <c r="AG61" s="53"/>
      <c r="AH61" s="53"/>
      <c r="AI61" s="53"/>
      <c r="AJ61" s="53"/>
      <c r="AK61" s="53"/>
      <c r="AL61" s="53"/>
      <c r="AM61" s="53"/>
      <c r="AN61" s="53"/>
    </row>
    <row r="62" spans="1:40" x14ac:dyDescent="0.2">
      <c r="AB62" s="62"/>
      <c r="AC62" s="53"/>
      <c r="AD62" s="53"/>
      <c r="AE62" s="53"/>
      <c r="AF62" s="53"/>
      <c r="AG62" s="53"/>
      <c r="AH62" s="53"/>
      <c r="AI62" s="53"/>
      <c r="AJ62" s="53"/>
      <c r="AK62" s="53"/>
      <c r="AL62" s="53"/>
      <c r="AM62" s="53"/>
      <c r="AN62" s="53"/>
    </row>
    <row r="63" spans="1:40" x14ac:dyDescent="0.2">
      <c r="AC63" s="53"/>
      <c r="AD63" s="53"/>
      <c r="AE63" s="53"/>
      <c r="AF63" s="53"/>
      <c r="AG63" s="53"/>
      <c r="AH63" s="53"/>
      <c r="AI63" s="53"/>
      <c r="AJ63" s="53"/>
      <c r="AK63" s="53"/>
      <c r="AL63" s="53"/>
      <c r="AM63" s="53"/>
      <c r="AN63" s="53"/>
    </row>
    <row r="64" spans="1:40" x14ac:dyDescent="0.2">
      <c r="AC64" s="53"/>
      <c r="AD64" s="53"/>
      <c r="AE64" s="53"/>
      <c r="AF64" s="53"/>
      <c r="AG64" s="53"/>
      <c r="AH64" s="53"/>
      <c r="AI64" s="53"/>
      <c r="AJ64" s="53"/>
      <c r="AK64" s="53"/>
      <c r="AL64" s="53"/>
      <c r="AM64" s="53"/>
      <c r="AN64" s="53"/>
    </row>
    <row r="65" spans="28:40" x14ac:dyDescent="0.2">
      <c r="AC65" s="53"/>
      <c r="AD65" s="53"/>
      <c r="AE65" s="53"/>
      <c r="AF65" s="53"/>
      <c r="AG65" s="53"/>
      <c r="AH65" s="53"/>
      <c r="AI65" s="53"/>
      <c r="AJ65" s="53"/>
      <c r="AK65" s="53"/>
      <c r="AL65" s="53"/>
      <c r="AM65" s="53"/>
      <c r="AN65" s="53"/>
    </row>
    <row r="66" spans="28:40" x14ac:dyDescent="0.2">
      <c r="AB66" s="62"/>
      <c r="AC66" s="53"/>
      <c r="AD66" s="53"/>
      <c r="AE66" s="53"/>
      <c r="AF66" s="53"/>
      <c r="AG66" s="53"/>
      <c r="AH66" s="53"/>
      <c r="AI66" s="53"/>
      <c r="AJ66" s="53"/>
      <c r="AK66" s="53"/>
      <c r="AL66" s="53"/>
      <c r="AM66" s="53"/>
      <c r="AN66" s="53"/>
    </row>
  </sheetData>
  <pageMargins left="0.7" right="0.7" top="0.75" bottom="0.75" header="0.3" footer="0.3"/>
  <pageSetup paperSize="9" orientation="portrait" horizontalDpi="4294967293"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3CBD1-E6D2-45AC-AFBA-E90C9406004D}">
  <dimension ref="A1:AN66"/>
  <sheetViews>
    <sheetView zoomScale="85" zoomScaleNormal="85" workbookViewId="0">
      <selection activeCell="D34" sqref="D34"/>
    </sheetView>
  </sheetViews>
  <sheetFormatPr baseColWidth="10" defaultRowHeight="15" x14ac:dyDescent="0.2"/>
  <cols>
    <col min="1" max="1" width="34" customWidth="1"/>
    <col min="2" max="2" width="15.33203125" customWidth="1"/>
    <col min="3" max="4" width="12.1640625" bestFit="1" customWidth="1"/>
    <col min="5" max="6" width="11.83203125" bestFit="1" customWidth="1"/>
    <col min="7" max="7" width="12.1640625" bestFit="1" customWidth="1"/>
    <col min="8" max="8" width="16.1640625" customWidth="1"/>
    <col min="9" max="9" width="16.5" customWidth="1"/>
    <col min="10" max="10" width="15.33203125" customWidth="1"/>
    <col min="11" max="11" width="13.1640625" bestFit="1" customWidth="1"/>
    <col min="12" max="12" width="17.1640625" customWidth="1"/>
    <col min="13" max="13" width="16.83203125" customWidth="1"/>
    <col min="14" max="14" width="12.5" bestFit="1" customWidth="1"/>
    <col min="15" max="15" width="38.5" customWidth="1"/>
    <col min="17" max="17" width="23.1640625" customWidth="1"/>
    <col min="28" max="28" width="21.33203125" bestFit="1" customWidth="1"/>
  </cols>
  <sheetData>
    <row r="1" spans="1:19" ht="19" x14ac:dyDescent="0.25">
      <c r="A1" s="147" t="s">
        <v>0</v>
      </c>
      <c r="B1" s="93" t="s">
        <v>48</v>
      </c>
      <c r="C1" s="93" t="s">
        <v>141</v>
      </c>
      <c r="D1" s="93" t="s">
        <v>140</v>
      </c>
      <c r="E1" s="93" t="s">
        <v>139</v>
      </c>
      <c r="F1" s="93" t="s">
        <v>138</v>
      </c>
      <c r="G1" s="93" t="s">
        <v>137</v>
      </c>
      <c r="H1" s="93" t="s">
        <v>136</v>
      </c>
      <c r="I1" s="93" t="s">
        <v>135</v>
      </c>
      <c r="J1" s="93" t="s">
        <v>134</v>
      </c>
      <c r="K1" s="93" t="s">
        <v>133</v>
      </c>
      <c r="L1" s="93" t="s">
        <v>132</v>
      </c>
      <c r="M1" s="93" t="s">
        <v>131</v>
      </c>
      <c r="O1" s="146" t="s">
        <v>166</v>
      </c>
    </row>
    <row r="2" spans="1:19" x14ac:dyDescent="0.2">
      <c r="A2" s="145" t="s">
        <v>165</v>
      </c>
      <c r="B2" s="144"/>
      <c r="C2" s="144"/>
      <c r="D2" s="144"/>
      <c r="E2" s="144"/>
      <c r="F2" s="144"/>
      <c r="G2" s="144"/>
      <c r="H2" s="144"/>
      <c r="I2" s="144"/>
      <c r="J2" s="144"/>
      <c r="K2" s="144"/>
      <c r="L2" s="144"/>
      <c r="M2" s="144"/>
      <c r="O2" t="s">
        <v>168</v>
      </c>
    </row>
    <row r="3" spans="1:19" x14ac:dyDescent="0.2">
      <c r="A3" s="136" t="s">
        <v>92</v>
      </c>
      <c r="B3" s="143">
        <f>'Compte de résultat'!E3/10</f>
        <v>36458.766093750004</v>
      </c>
      <c r="C3" s="143">
        <f>B3</f>
        <v>36458.766093750004</v>
      </c>
      <c r="D3" s="143">
        <f t="shared" ref="D3:M3" si="0">C3</f>
        <v>36458.766093750004</v>
      </c>
      <c r="E3" s="143">
        <f t="shared" si="0"/>
        <v>36458.766093750004</v>
      </c>
      <c r="F3" s="143">
        <f t="shared" si="0"/>
        <v>36458.766093750004</v>
      </c>
      <c r="G3" s="143">
        <f t="shared" si="0"/>
        <v>36458.766093750004</v>
      </c>
      <c r="H3" s="143"/>
      <c r="I3" s="143">
        <f t="shared" si="0"/>
        <v>0</v>
      </c>
      <c r="J3" s="143">
        <f>G3</f>
        <v>36458.766093750004</v>
      </c>
      <c r="K3" s="143">
        <f t="shared" si="0"/>
        <v>36458.766093750004</v>
      </c>
      <c r="L3" s="143">
        <f t="shared" si="0"/>
        <v>36458.766093750004</v>
      </c>
      <c r="M3" s="143">
        <f t="shared" si="0"/>
        <v>36458.766093750004</v>
      </c>
      <c r="N3" s="111"/>
      <c r="O3" t="s">
        <v>169</v>
      </c>
    </row>
    <row r="4" spans="1:19" x14ac:dyDescent="0.2">
      <c r="A4" s="141" t="s">
        <v>164</v>
      </c>
      <c r="B4" s="140">
        <f t="shared" ref="B4:M4" si="1">B34</f>
        <v>3645.8766093750005</v>
      </c>
      <c r="C4" s="125">
        <f t="shared" si="1"/>
        <v>3645.8766093750005</v>
      </c>
      <c r="D4" s="125">
        <f t="shared" si="1"/>
        <v>3645.8766093750005</v>
      </c>
      <c r="E4" s="125">
        <f t="shared" si="1"/>
        <v>3645.8766093750005</v>
      </c>
      <c r="F4" s="125">
        <f t="shared" si="1"/>
        <v>3645.8766093750005</v>
      </c>
      <c r="G4" s="125">
        <f t="shared" si="1"/>
        <v>3645.8766093750005</v>
      </c>
      <c r="H4" s="125">
        <f t="shared" si="1"/>
        <v>0</v>
      </c>
      <c r="I4" s="125">
        <f t="shared" si="1"/>
        <v>0</v>
      </c>
      <c r="J4" s="125">
        <f t="shared" si="1"/>
        <v>3645.8766093750005</v>
      </c>
      <c r="K4" s="125">
        <f t="shared" si="1"/>
        <v>3645.8766093750005</v>
      </c>
      <c r="L4" s="125">
        <f t="shared" si="1"/>
        <v>3645.8766093750005</v>
      </c>
      <c r="M4" s="125">
        <f t="shared" si="1"/>
        <v>3645.8766093750005</v>
      </c>
      <c r="N4" s="142"/>
      <c r="S4" s="114"/>
    </row>
    <row r="5" spans="1:19" x14ac:dyDescent="0.2">
      <c r="A5" s="139" t="s">
        <v>163</v>
      </c>
      <c r="B5" s="138"/>
      <c r="C5" s="138"/>
      <c r="D5" s="138"/>
      <c r="E5" s="138"/>
      <c r="F5" s="138"/>
      <c r="G5" s="138"/>
      <c r="H5" s="138"/>
      <c r="I5" s="138"/>
      <c r="J5" s="138"/>
      <c r="K5" s="138"/>
      <c r="L5" s="138"/>
      <c r="M5" s="137"/>
      <c r="N5" s="111"/>
      <c r="O5" s="111"/>
      <c r="S5" s="114"/>
    </row>
    <row r="6" spans="1:19" x14ac:dyDescent="0.2">
      <c r="A6" s="136" t="s">
        <v>162</v>
      </c>
      <c r="B6" s="135">
        <f>'Compte de résultat'!E4/10</f>
        <v>19877.000000000004</v>
      </c>
      <c r="C6" s="134">
        <f>B6</f>
        <v>19877.000000000004</v>
      </c>
      <c r="D6" s="134">
        <f t="shared" ref="D6:M6" si="2">C6</f>
        <v>19877.000000000004</v>
      </c>
      <c r="E6" s="134">
        <f t="shared" si="2"/>
        <v>19877.000000000004</v>
      </c>
      <c r="F6" s="134">
        <f t="shared" si="2"/>
        <v>19877.000000000004</v>
      </c>
      <c r="G6" s="134">
        <f t="shared" si="2"/>
        <v>19877.000000000004</v>
      </c>
      <c r="H6" s="134">
        <f t="shared" si="2"/>
        <v>19877.000000000004</v>
      </c>
      <c r="I6" s="134"/>
      <c r="J6" s="134">
        <f t="shared" si="2"/>
        <v>0</v>
      </c>
      <c r="K6" s="134">
        <f>H6</f>
        <v>19877.000000000004</v>
      </c>
      <c r="L6" s="134">
        <f t="shared" si="2"/>
        <v>19877.000000000004</v>
      </c>
      <c r="M6" s="134">
        <f t="shared" si="2"/>
        <v>19877.000000000004</v>
      </c>
      <c r="N6" s="111"/>
      <c r="Q6" s="114"/>
    </row>
    <row r="7" spans="1:19" x14ac:dyDescent="0.2">
      <c r="A7" s="131" t="s">
        <v>161</v>
      </c>
      <c r="B7" s="132"/>
      <c r="C7" s="127"/>
      <c r="D7" s="127"/>
      <c r="E7" s="127"/>
      <c r="F7" s="127"/>
      <c r="G7" s="127"/>
      <c r="H7" s="127"/>
      <c r="I7" s="127"/>
      <c r="J7" s="127"/>
      <c r="K7" s="127"/>
      <c r="L7" s="127"/>
      <c r="M7" s="127"/>
      <c r="N7" s="133"/>
      <c r="Q7" s="114"/>
    </row>
    <row r="8" spans="1:19" x14ac:dyDescent="0.2">
      <c r="A8" s="131" t="s">
        <v>160</v>
      </c>
      <c r="B8" s="132">
        <f>'Compte de résultat'!E71</f>
        <v>1357.2252048384</v>
      </c>
      <c r="C8" s="132">
        <f>B8</f>
        <v>1357.2252048384</v>
      </c>
      <c r="D8" s="132">
        <f t="shared" ref="D8:M8" si="3">C8</f>
        <v>1357.2252048384</v>
      </c>
      <c r="E8" s="132">
        <f t="shared" si="3"/>
        <v>1357.2252048384</v>
      </c>
      <c r="F8" s="132">
        <f t="shared" si="3"/>
        <v>1357.2252048384</v>
      </c>
      <c r="G8" s="132">
        <f t="shared" si="3"/>
        <v>1357.2252048384</v>
      </c>
      <c r="H8" s="132"/>
      <c r="I8" s="132">
        <f t="shared" si="3"/>
        <v>0</v>
      </c>
      <c r="J8" s="132">
        <f>G8</f>
        <v>1357.2252048384</v>
      </c>
      <c r="K8" s="132">
        <f t="shared" si="3"/>
        <v>1357.2252048384</v>
      </c>
      <c r="L8" s="132">
        <f t="shared" si="3"/>
        <v>1357.2252048384</v>
      </c>
      <c r="M8" s="132">
        <f t="shared" si="3"/>
        <v>1357.2252048384</v>
      </c>
      <c r="N8" s="133"/>
      <c r="Q8" s="114"/>
    </row>
    <row r="9" spans="1:19" x14ac:dyDescent="0.2">
      <c r="A9" s="131" t="s">
        <v>159</v>
      </c>
      <c r="B9" s="132">
        <f>B8*0.28</f>
        <v>380.02305735475204</v>
      </c>
      <c r="C9" s="132">
        <f t="shared" ref="C9:M9" si="4">C8*0.28</f>
        <v>380.02305735475204</v>
      </c>
      <c r="D9" s="132">
        <f t="shared" si="4"/>
        <v>380.02305735475204</v>
      </c>
      <c r="E9" s="132">
        <f t="shared" si="4"/>
        <v>380.02305735475204</v>
      </c>
      <c r="F9" s="132">
        <f t="shared" si="4"/>
        <v>380.02305735475204</v>
      </c>
      <c r="G9" s="132">
        <f t="shared" si="4"/>
        <v>380.02305735475204</v>
      </c>
      <c r="H9" s="132"/>
      <c r="I9" s="132"/>
      <c r="J9" s="132">
        <f t="shared" si="4"/>
        <v>380.02305735475204</v>
      </c>
      <c r="K9" s="132">
        <f t="shared" si="4"/>
        <v>380.02305735475204</v>
      </c>
      <c r="L9" s="132">
        <f t="shared" si="4"/>
        <v>380.02305735475204</v>
      </c>
      <c r="M9" s="132">
        <f t="shared" si="4"/>
        <v>380.02305735475204</v>
      </c>
      <c r="Q9" s="114"/>
    </row>
    <row r="10" spans="1:19" x14ac:dyDescent="0.2">
      <c r="A10" s="131" t="s">
        <v>158</v>
      </c>
      <c r="B10" s="132">
        <f>B8*0.4</f>
        <v>542.89008193536006</v>
      </c>
      <c r="C10" s="132">
        <f t="shared" ref="C10:M10" si="5">C8*0.4</f>
        <v>542.89008193536006</v>
      </c>
      <c r="D10" s="132">
        <f t="shared" si="5"/>
        <v>542.89008193536006</v>
      </c>
      <c r="E10" s="132">
        <f t="shared" si="5"/>
        <v>542.89008193536006</v>
      </c>
      <c r="F10" s="132">
        <f t="shared" si="5"/>
        <v>542.89008193536006</v>
      </c>
      <c r="G10" s="132">
        <f t="shared" si="5"/>
        <v>542.89008193536006</v>
      </c>
      <c r="H10" s="132"/>
      <c r="I10" s="132"/>
      <c r="J10" s="132">
        <f t="shared" si="5"/>
        <v>542.89008193536006</v>
      </c>
      <c r="K10" s="132">
        <f t="shared" si="5"/>
        <v>542.89008193536006</v>
      </c>
      <c r="L10" s="132">
        <f t="shared" si="5"/>
        <v>542.89008193536006</v>
      </c>
      <c r="M10" s="132">
        <f t="shared" si="5"/>
        <v>542.89008193536006</v>
      </c>
      <c r="Q10" s="122"/>
    </row>
    <row r="11" spans="1:19" x14ac:dyDescent="0.2">
      <c r="A11" s="131" t="s">
        <v>157</v>
      </c>
      <c r="B11" s="132"/>
      <c r="C11" s="127"/>
      <c r="D11" s="127"/>
      <c r="E11" s="127"/>
      <c r="F11" s="127"/>
      <c r="G11" s="127"/>
      <c r="H11" s="127"/>
      <c r="I11" s="127"/>
      <c r="J11" s="127"/>
      <c r="K11" s="127"/>
      <c r="L11" s="127"/>
      <c r="M11" s="127"/>
      <c r="Q11" s="122"/>
    </row>
    <row r="12" spans="1:19" x14ac:dyDescent="0.2">
      <c r="A12" s="131" t="s">
        <v>156</v>
      </c>
      <c r="B12" s="132"/>
      <c r="C12" s="127"/>
      <c r="D12" s="127"/>
      <c r="E12" s="127"/>
      <c r="F12" s="127"/>
      <c r="G12" s="127"/>
      <c r="H12" s="127"/>
      <c r="I12" s="127"/>
      <c r="J12" s="127"/>
      <c r="K12" s="127"/>
      <c r="L12" s="127"/>
      <c r="M12" s="127"/>
      <c r="Q12" s="122"/>
    </row>
    <row r="13" spans="1:19" x14ac:dyDescent="0.2">
      <c r="A13" s="131" t="s">
        <v>155</v>
      </c>
      <c r="B13" s="127"/>
      <c r="C13" s="127"/>
      <c r="D13" s="127"/>
      <c r="E13" s="127"/>
      <c r="F13" s="127"/>
      <c r="G13" s="127"/>
      <c r="H13" s="127"/>
      <c r="I13" s="127"/>
      <c r="J13" s="127"/>
      <c r="K13" s="127"/>
      <c r="L13" s="127"/>
      <c r="M13" s="127"/>
      <c r="Q13" s="122"/>
    </row>
    <row r="14" spans="1:19" x14ac:dyDescent="0.2">
      <c r="A14" s="130" t="s">
        <v>154</v>
      </c>
      <c r="B14" s="127"/>
      <c r="C14" s="127"/>
      <c r="D14" s="127"/>
      <c r="E14" s="127"/>
      <c r="F14" s="127"/>
      <c r="G14" s="127"/>
      <c r="H14" s="127"/>
      <c r="I14" s="127"/>
      <c r="J14" s="127"/>
      <c r="K14" s="127"/>
      <c r="L14" s="127"/>
      <c r="M14" s="127"/>
      <c r="Q14" s="114"/>
    </row>
    <row r="15" spans="1:19" x14ac:dyDescent="0.2">
      <c r="A15" s="129" t="s">
        <v>153</v>
      </c>
      <c r="B15" s="127">
        <f>'Compte de résultat'!E10/10</f>
        <v>50.424874500000016</v>
      </c>
      <c r="C15" s="127">
        <f>B15</f>
        <v>50.424874500000016</v>
      </c>
      <c r="D15" s="127">
        <f t="shared" ref="D15:M19" si="6">C15</f>
        <v>50.424874500000016</v>
      </c>
      <c r="E15" s="127">
        <f t="shared" si="6"/>
        <v>50.424874500000016</v>
      </c>
      <c r="F15" s="127">
        <f t="shared" si="6"/>
        <v>50.424874500000016</v>
      </c>
      <c r="G15" s="127">
        <f t="shared" si="6"/>
        <v>50.424874500000016</v>
      </c>
      <c r="H15" s="127"/>
      <c r="I15" s="127"/>
      <c r="J15" s="127">
        <f>G15</f>
        <v>50.424874500000016</v>
      </c>
      <c r="K15" s="127">
        <f t="shared" si="6"/>
        <v>50.424874500000016</v>
      </c>
      <c r="L15" s="127">
        <f t="shared" si="6"/>
        <v>50.424874500000016</v>
      </c>
      <c r="M15" s="127">
        <f t="shared" si="6"/>
        <v>50.424874500000016</v>
      </c>
      <c r="Q15" s="114"/>
    </row>
    <row r="16" spans="1:19" x14ac:dyDescent="0.2">
      <c r="A16" s="129" t="s">
        <v>152</v>
      </c>
      <c r="B16" s="127">
        <f>'Compte de résultat'!E7/10</f>
        <v>4754.8754325072005</v>
      </c>
      <c r="C16" s="127">
        <f>B16</f>
        <v>4754.8754325072005</v>
      </c>
      <c r="D16" s="127">
        <f t="shared" si="6"/>
        <v>4754.8754325072005</v>
      </c>
      <c r="E16" s="127">
        <f t="shared" si="6"/>
        <v>4754.8754325072005</v>
      </c>
      <c r="F16" s="127">
        <f t="shared" si="6"/>
        <v>4754.8754325072005</v>
      </c>
      <c r="G16" s="127">
        <f t="shared" si="6"/>
        <v>4754.8754325072005</v>
      </c>
      <c r="H16" s="127"/>
      <c r="I16" s="127">
        <f t="shared" si="6"/>
        <v>0</v>
      </c>
      <c r="J16" s="127">
        <f>G16</f>
        <v>4754.8754325072005</v>
      </c>
      <c r="K16" s="127">
        <f t="shared" si="6"/>
        <v>4754.8754325072005</v>
      </c>
      <c r="L16" s="127">
        <f t="shared" si="6"/>
        <v>4754.8754325072005</v>
      </c>
      <c r="M16" s="127">
        <f t="shared" si="6"/>
        <v>4754.8754325072005</v>
      </c>
      <c r="Q16" s="114"/>
    </row>
    <row r="17" spans="1:29" x14ac:dyDescent="0.2">
      <c r="A17" s="129" t="s">
        <v>151</v>
      </c>
      <c r="B17" s="127">
        <f>'Compte de résultat'!C9/12</f>
        <v>200</v>
      </c>
      <c r="C17" s="127">
        <f>B17</f>
        <v>200</v>
      </c>
      <c r="D17" s="127">
        <f t="shared" si="6"/>
        <v>200</v>
      </c>
      <c r="E17" s="127">
        <f t="shared" si="6"/>
        <v>200</v>
      </c>
      <c r="F17" s="127">
        <f t="shared" si="6"/>
        <v>200</v>
      </c>
      <c r="G17" s="127">
        <f t="shared" si="6"/>
        <v>200</v>
      </c>
      <c r="H17" s="127">
        <f t="shared" si="6"/>
        <v>200</v>
      </c>
      <c r="I17" s="127">
        <f t="shared" si="6"/>
        <v>200</v>
      </c>
      <c r="J17" s="127">
        <f t="shared" si="6"/>
        <v>200</v>
      </c>
      <c r="K17" s="127">
        <f t="shared" si="6"/>
        <v>200</v>
      </c>
      <c r="L17" s="127">
        <f t="shared" si="6"/>
        <v>200</v>
      </c>
      <c r="M17" s="127">
        <f t="shared" si="6"/>
        <v>200</v>
      </c>
      <c r="Q17" s="114"/>
    </row>
    <row r="18" spans="1:29" x14ac:dyDescent="0.2">
      <c r="A18" s="129" t="s">
        <v>150</v>
      </c>
      <c r="B18" s="127">
        <f>'Compte de résultat'!C12/10</f>
        <v>500</v>
      </c>
      <c r="C18" s="127">
        <f>B18</f>
        <v>500</v>
      </c>
      <c r="D18" s="127">
        <f t="shared" si="6"/>
        <v>500</v>
      </c>
      <c r="E18" s="127">
        <f t="shared" si="6"/>
        <v>500</v>
      </c>
      <c r="F18" s="127">
        <f t="shared" si="6"/>
        <v>500</v>
      </c>
      <c r="G18" s="127">
        <f t="shared" si="6"/>
        <v>500</v>
      </c>
      <c r="H18" s="127"/>
      <c r="I18" s="127"/>
      <c r="J18" s="127">
        <f>G18</f>
        <v>500</v>
      </c>
      <c r="K18" s="127">
        <f t="shared" si="6"/>
        <v>500</v>
      </c>
      <c r="L18" s="127">
        <f t="shared" si="6"/>
        <v>500</v>
      </c>
      <c r="M18" s="127">
        <f t="shared" si="6"/>
        <v>500</v>
      </c>
      <c r="Q18" s="114"/>
    </row>
    <row r="19" spans="1:29" x14ac:dyDescent="0.2">
      <c r="A19" s="129" t="s">
        <v>149</v>
      </c>
      <c r="B19" s="127">
        <f>'Compte de résultat'!C10</f>
        <v>426.4260000000001</v>
      </c>
      <c r="C19" s="127">
        <f>B19</f>
        <v>426.4260000000001</v>
      </c>
      <c r="D19" s="127">
        <f t="shared" si="6"/>
        <v>426.4260000000001</v>
      </c>
      <c r="E19" s="127">
        <f t="shared" si="6"/>
        <v>426.4260000000001</v>
      </c>
      <c r="F19" s="127">
        <f t="shared" si="6"/>
        <v>426.4260000000001</v>
      </c>
      <c r="G19" s="127">
        <f t="shared" si="6"/>
        <v>426.4260000000001</v>
      </c>
      <c r="H19" s="127">
        <f t="shared" si="6"/>
        <v>426.4260000000001</v>
      </c>
      <c r="I19" s="127">
        <f t="shared" si="6"/>
        <v>426.4260000000001</v>
      </c>
      <c r="J19" s="127">
        <f t="shared" si="6"/>
        <v>426.4260000000001</v>
      </c>
      <c r="K19" s="127">
        <f t="shared" si="6"/>
        <v>426.4260000000001</v>
      </c>
      <c r="L19" s="127">
        <f t="shared" si="6"/>
        <v>426.4260000000001</v>
      </c>
      <c r="M19" s="127">
        <f t="shared" si="6"/>
        <v>426.4260000000001</v>
      </c>
      <c r="Q19" s="114"/>
    </row>
    <row r="20" spans="1:29" x14ac:dyDescent="0.2">
      <c r="A20" s="128" t="s">
        <v>13</v>
      </c>
      <c r="B20" s="127"/>
      <c r="C20" s="127"/>
      <c r="D20" s="127"/>
      <c r="E20" s="127"/>
      <c r="F20" s="127"/>
      <c r="G20" s="127"/>
      <c r="H20" s="127"/>
      <c r="I20" s="127"/>
      <c r="J20" s="127"/>
      <c r="K20" s="127"/>
      <c r="L20" s="127"/>
      <c r="M20" s="127"/>
      <c r="Q20" s="114"/>
    </row>
    <row r="21" spans="1:29" x14ac:dyDescent="0.2">
      <c r="A21" s="128" t="s">
        <v>148</v>
      </c>
      <c r="B21" s="127">
        <f t="shared" ref="B21:M21" si="7">B35</f>
        <v>0</v>
      </c>
      <c r="C21" s="127">
        <f t="shared" si="7"/>
        <v>1987.7000000000005</v>
      </c>
      <c r="D21" s="127">
        <f t="shared" si="7"/>
        <v>1987.7000000000005</v>
      </c>
      <c r="E21" s="127">
        <f t="shared" si="7"/>
        <v>1987.7000000000005</v>
      </c>
      <c r="F21" s="127">
        <f t="shared" si="7"/>
        <v>1987.7000000000005</v>
      </c>
      <c r="G21" s="127">
        <f t="shared" si="7"/>
        <v>1987.7000000000005</v>
      </c>
      <c r="H21" s="127">
        <f t="shared" si="7"/>
        <v>1987.7000000000005</v>
      </c>
      <c r="I21" s="127">
        <f t="shared" si="7"/>
        <v>0</v>
      </c>
      <c r="J21" s="127">
        <f t="shared" si="7"/>
        <v>0</v>
      </c>
      <c r="K21" s="127">
        <f t="shared" si="7"/>
        <v>1987.7000000000005</v>
      </c>
      <c r="L21" s="127">
        <f t="shared" si="7"/>
        <v>1987.7000000000005</v>
      </c>
      <c r="M21" s="127">
        <f t="shared" si="7"/>
        <v>1987.7000000000005</v>
      </c>
      <c r="Q21" s="114"/>
    </row>
    <row r="22" spans="1:29" x14ac:dyDescent="0.2">
      <c r="A22" s="126" t="s">
        <v>147</v>
      </c>
      <c r="B22" s="125">
        <f t="shared" ref="B22:M22" si="8">B36</f>
        <v>0</v>
      </c>
      <c r="C22" s="125">
        <f t="shared" si="8"/>
        <v>0</v>
      </c>
      <c r="D22" s="125">
        <f t="shared" si="8"/>
        <v>0</v>
      </c>
      <c r="E22" s="125">
        <f t="shared" si="8"/>
        <v>0</v>
      </c>
      <c r="F22" s="125">
        <f t="shared" si="8"/>
        <v>0</v>
      </c>
      <c r="G22" s="125">
        <f t="shared" si="8"/>
        <v>0</v>
      </c>
      <c r="H22" s="125">
        <f t="shared" si="8"/>
        <v>0</v>
      </c>
      <c r="I22" s="125">
        <f t="shared" si="8"/>
        <v>0</v>
      </c>
      <c r="J22" s="125">
        <f t="shared" si="8"/>
        <v>0</v>
      </c>
      <c r="K22" s="125">
        <f t="shared" si="8"/>
        <v>0</v>
      </c>
      <c r="L22" s="125">
        <f t="shared" si="8"/>
        <v>0</v>
      </c>
      <c r="M22" s="125">
        <f t="shared" si="8"/>
        <v>0</v>
      </c>
    </row>
    <row r="23" spans="1:29" x14ac:dyDescent="0.2">
      <c r="A23" s="124" t="s">
        <v>146</v>
      </c>
      <c r="B23" s="123"/>
      <c r="C23" s="123"/>
      <c r="D23" s="123"/>
      <c r="E23" s="123"/>
      <c r="F23" s="123"/>
      <c r="G23" s="123"/>
      <c r="H23" s="123"/>
      <c r="I23" s="123"/>
      <c r="J23" s="123"/>
      <c r="K23" s="123"/>
      <c r="L23" s="123"/>
      <c r="M23" s="123"/>
      <c r="Q23" s="12"/>
      <c r="R23" s="12"/>
      <c r="S23" s="12"/>
      <c r="T23" s="12"/>
      <c r="U23" s="12"/>
      <c r="V23" s="12"/>
      <c r="W23" s="12"/>
      <c r="X23" s="12"/>
      <c r="Y23" s="12"/>
      <c r="Z23" s="12"/>
      <c r="AA23" s="12"/>
      <c r="AB23" s="12"/>
      <c r="AC23" s="12"/>
    </row>
    <row r="24" spans="1:29" ht="16" thickBot="1" x14ac:dyDescent="0.25">
      <c r="A24" s="121" t="s">
        <v>145</v>
      </c>
      <c r="B24" s="120"/>
      <c r="C24" s="120">
        <f t="shared" ref="C24:M24" si="9">B26</f>
        <v>12015.778051989291</v>
      </c>
      <c r="D24" s="120">
        <f t="shared" si="9"/>
        <v>22043.856103978582</v>
      </c>
      <c r="E24" s="120">
        <f t="shared" si="9"/>
        <v>32071.934155967872</v>
      </c>
      <c r="F24" s="120">
        <f t="shared" si="9"/>
        <v>42100.012207957159</v>
      </c>
      <c r="G24" s="120">
        <f t="shared" si="9"/>
        <v>52128.090259946446</v>
      </c>
      <c r="H24" s="120">
        <f t="shared" si="9"/>
        <v>62156.168311935733</v>
      </c>
      <c r="I24" s="120">
        <f t="shared" si="9"/>
        <v>39665.042311935729</v>
      </c>
      <c r="J24" s="120">
        <f t="shared" si="9"/>
        <v>39038.61631193573</v>
      </c>
      <c r="K24" s="120">
        <f t="shared" si="9"/>
        <v>70931.394363925021</v>
      </c>
      <c r="L24" s="120">
        <f t="shared" si="9"/>
        <v>80959.472415914308</v>
      </c>
      <c r="M24" s="120">
        <f t="shared" si="9"/>
        <v>90987.550467903595</v>
      </c>
      <c r="Q24" s="12"/>
      <c r="R24" s="12"/>
      <c r="S24" s="12"/>
      <c r="T24" s="12"/>
      <c r="U24" s="12"/>
      <c r="V24" s="12"/>
      <c r="W24" s="12"/>
      <c r="X24" s="12"/>
      <c r="Y24" s="12"/>
      <c r="Z24" s="12"/>
      <c r="AA24" s="12"/>
      <c r="AB24" s="12"/>
      <c r="AC24" s="12"/>
    </row>
    <row r="25" spans="1:29" ht="16" thickBot="1" x14ac:dyDescent="0.25">
      <c r="A25" s="149" t="s">
        <v>144</v>
      </c>
      <c r="B25" s="150">
        <f t="shared" ref="B25:M25" si="10">SUM(B3:B4)-SUM(B6:B22)</f>
        <v>12015.778051989291</v>
      </c>
      <c r="C25" s="150">
        <f t="shared" si="10"/>
        <v>10028.078051989291</v>
      </c>
      <c r="D25" s="150">
        <f t="shared" si="10"/>
        <v>10028.078051989291</v>
      </c>
      <c r="E25" s="150">
        <f t="shared" si="10"/>
        <v>10028.078051989291</v>
      </c>
      <c r="F25" s="150">
        <f t="shared" si="10"/>
        <v>10028.078051989291</v>
      </c>
      <c r="G25" s="150">
        <f t="shared" si="10"/>
        <v>10028.078051989291</v>
      </c>
      <c r="H25" s="150">
        <f t="shared" si="10"/>
        <v>-22491.126000000004</v>
      </c>
      <c r="I25" s="150">
        <f t="shared" si="10"/>
        <v>-626.42600000000016</v>
      </c>
      <c r="J25" s="150">
        <f t="shared" si="10"/>
        <v>31892.778051989291</v>
      </c>
      <c r="K25" s="150">
        <f t="shared" si="10"/>
        <v>10028.078051989291</v>
      </c>
      <c r="L25" s="150">
        <f t="shared" si="10"/>
        <v>10028.078051989291</v>
      </c>
      <c r="M25" s="151">
        <f t="shared" si="10"/>
        <v>10028.078051989291</v>
      </c>
      <c r="Q25" s="12"/>
      <c r="R25" s="12"/>
      <c r="S25" s="12"/>
      <c r="T25" s="12"/>
      <c r="U25" s="12"/>
      <c r="V25" s="12"/>
      <c r="W25" s="12"/>
      <c r="X25" s="12"/>
      <c r="Y25" s="12"/>
      <c r="Z25" s="12"/>
      <c r="AA25" s="12"/>
      <c r="AB25" s="12"/>
      <c r="AC25" s="12"/>
    </row>
    <row r="26" spans="1:29" ht="16" thickBot="1" x14ac:dyDescent="0.25">
      <c r="A26" s="152" t="s">
        <v>143</v>
      </c>
      <c r="B26" s="153">
        <f t="shared" ref="B26:M26" si="11">SUM(B3:B4)-SUM(B6:B22)+B24</f>
        <v>12015.778051989291</v>
      </c>
      <c r="C26" s="153">
        <f t="shared" si="11"/>
        <v>22043.856103978582</v>
      </c>
      <c r="D26" s="153">
        <f t="shared" si="11"/>
        <v>32071.934155967872</v>
      </c>
      <c r="E26" s="153">
        <f t="shared" si="11"/>
        <v>42100.012207957159</v>
      </c>
      <c r="F26" s="153">
        <f t="shared" si="11"/>
        <v>52128.090259946446</v>
      </c>
      <c r="G26" s="153">
        <f t="shared" si="11"/>
        <v>62156.168311935733</v>
      </c>
      <c r="H26" s="153">
        <f t="shared" si="11"/>
        <v>39665.042311935729</v>
      </c>
      <c r="I26" s="153">
        <f t="shared" si="11"/>
        <v>39038.61631193573</v>
      </c>
      <c r="J26" s="153">
        <f t="shared" si="11"/>
        <v>70931.394363925021</v>
      </c>
      <c r="K26" s="153">
        <f t="shared" si="11"/>
        <v>80959.472415914308</v>
      </c>
      <c r="L26" s="153">
        <f t="shared" si="11"/>
        <v>90987.550467903595</v>
      </c>
      <c r="M26" s="154">
        <f t="shared" si="11"/>
        <v>101015.62851989288</v>
      </c>
      <c r="R26" s="122"/>
      <c r="S26" s="122"/>
      <c r="T26" s="122"/>
      <c r="U26" s="122"/>
      <c r="V26" s="122"/>
      <c r="W26" s="122"/>
      <c r="X26" s="122"/>
      <c r="Y26" s="122"/>
      <c r="Z26" s="122"/>
      <c r="AA26" s="122"/>
      <c r="AB26" s="122"/>
      <c r="AC26" s="122"/>
    </row>
    <row r="27" spans="1:29" x14ac:dyDescent="0.2">
      <c r="R27" s="114"/>
      <c r="S27" s="114"/>
      <c r="T27" s="114"/>
      <c r="U27" s="114"/>
      <c r="V27" s="114"/>
      <c r="W27" s="114"/>
      <c r="X27" s="114"/>
      <c r="Y27" s="114"/>
      <c r="Z27" s="114"/>
      <c r="AA27" s="114"/>
      <c r="AB27" s="114"/>
      <c r="AC27" s="114"/>
    </row>
    <row r="28" spans="1:29" x14ac:dyDescent="0.2">
      <c r="H28" s="111"/>
      <c r="R28" s="114"/>
      <c r="S28" s="114"/>
      <c r="T28" s="114"/>
      <c r="U28" s="114"/>
      <c r="V28" s="114"/>
      <c r="W28" s="114"/>
      <c r="X28" s="114"/>
      <c r="Y28" s="114"/>
      <c r="Z28" s="114"/>
      <c r="AA28" s="114"/>
      <c r="AB28" s="114"/>
      <c r="AC28" s="114"/>
    </row>
    <row r="29" spans="1:29" x14ac:dyDescent="0.2">
      <c r="H29" s="111"/>
      <c r="R29" s="114"/>
      <c r="S29" s="114"/>
      <c r="T29" s="114"/>
      <c r="U29" s="114"/>
      <c r="V29" s="114"/>
      <c r="W29" s="114"/>
      <c r="X29" s="114"/>
      <c r="Y29" s="114"/>
      <c r="Z29" s="114"/>
      <c r="AA29" s="114"/>
      <c r="AB29" s="114"/>
      <c r="AC29" s="114"/>
    </row>
    <row r="30" spans="1:29" x14ac:dyDescent="0.2">
      <c r="R30" s="114"/>
      <c r="S30" s="114"/>
      <c r="T30" s="114"/>
      <c r="U30" s="114"/>
      <c r="V30" s="114"/>
      <c r="W30" s="114"/>
      <c r="X30" s="114"/>
      <c r="Y30" s="114"/>
      <c r="Z30" s="114"/>
      <c r="AA30" s="114"/>
      <c r="AB30" s="114"/>
      <c r="AC30" s="114"/>
    </row>
    <row r="31" spans="1:29" x14ac:dyDescent="0.2">
      <c r="Q31" s="114"/>
      <c r="R31" s="114"/>
      <c r="S31" s="114"/>
      <c r="T31" s="114"/>
      <c r="U31" s="114"/>
      <c r="V31" s="114"/>
      <c r="W31" s="114"/>
      <c r="X31" s="114"/>
      <c r="Y31" s="114"/>
      <c r="Z31" s="114"/>
      <c r="AA31" s="114"/>
      <c r="AB31" s="114"/>
    </row>
    <row r="32" spans="1:29" x14ac:dyDescent="0.2">
      <c r="A32" s="2" t="s">
        <v>142</v>
      </c>
      <c r="B32" s="1" t="s">
        <v>48</v>
      </c>
      <c r="C32" s="1" t="s">
        <v>141</v>
      </c>
      <c r="D32" s="1" t="s">
        <v>140</v>
      </c>
      <c r="E32" s="1" t="s">
        <v>139</v>
      </c>
      <c r="F32" s="1" t="s">
        <v>138</v>
      </c>
      <c r="G32" s="1" t="s">
        <v>137</v>
      </c>
      <c r="H32" s="1" t="s">
        <v>136</v>
      </c>
      <c r="I32" s="1" t="s">
        <v>135</v>
      </c>
      <c r="J32" s="1" t="s">
        <v>134</v>
      </c>
      <c r="K32" s="1" t="s">
        <v>133</v>
      </c>
      <c r="L32" s="1" t="s">
        <v>132</v>
      </c>
      <c r="M32" s="1" t="s">
        <v>131</v>
      </c>
      <c r="Q32" s="114"/>
      <c r="R32" s="114"/>
      <c r="S32" s="114"/>
      <c r="T32" s="114"/>
      <c r="U32" s="114"/>
      <c r="V32" s="114"/>
      <c r="W32" s="114"/>
      <c r="X32" s="114"/>
      <c r="Y32" s="114"/>
      <c r="Z32" s="114"/>
      <c r="AA32" s="114"/>
      <c r="AB32" s="114"/>
    </row>
    <row r="33" spans="1:40" x14ac:dyDescent="0.2">
      <c r="A33" s="1" t="s">
        <v>130</v>
      </c>
      <c r="B33" s="5"/>
      <c r="C33" s="5">
        <f t="shared" ref="C33:M33" si="12">B37</f>
        <v>3645.8766093750005</v>
      </c>
      <c r="D33" s="5">
        <f t="shared" si="12"/>
        <v>1658.176609375</v>
      </c>
      <c r="E33" s="5">
        <f t="shared" si="12"/>
        <v>1658.176609375</v>
      </c>
      <c r="F33" s="5">
        <f t="shared" si="12"/>
        <v>1658.176609375</v>
      </c>
      <c r="G33" s="5">
        <f t="shared" si="12"/>
        <v>1658.176609375</v>
      </c>
      <c r="H33" s="5">
        <f t="shared" si="12"/>
        <v>1658.176609375</v>
      </c>
      <c r="I33" s="5">
        <f t="shared" si="12"/>
        <v>-1987.7000000000005</v>
      </c>
      <c r="J33" s="5">
        <f t="shared" si="12"/>
        <v>0</v>
      </c>
      <c r="K33" s="5">
        <f t="shared" si="12"/>
        <v>3645.8766093750005</v>
      </c>
      <c r="L33" s="5">
        <f t="shared" si="12"/>
        <v>1658.176609375</v>
      </c>
      <c r="M33" s="5">
        <f t="shared" si="12"/>
        <v>1658.176609375</v>
      </c>
      <c r="Q33" s="114"/>
      <c r="R33" s="114"/>
      <c r="S33" s="114"/>
      <c r="T33" s="114"/>
      <c r="U33" s="114"/>
      <c r="V33" s="114"/>
      <c r="W33" s="114"/>
      <c r="X33" s="114"/>
      <c r="Y33" s="114"/>
      <c r="Z33" s="114"/>
      <c r="AA33" s="114"/>
      <c r="AB33" s="114"/>
    </row>
    <row r="34" spans="1:40" ht="32" x14ac:dyDescent="0.2">
      <c r="A34" s="115" t="s">
        <v>129</v>
      </c>
      <c r="B34" s="119">
        <f t="shared" ref="B34:M34" si="13">B3*0.1</f>
        <v>3645.8766093750005</v>
      </c>
      <c r="C34" s="119">
        <f t="shared" si="13"/>
        <v>3645.8766093750005</v>
      </c>
      <c r="D34" s="119">
        <f t="shared" si="13"/>
        <v>3645.8766093750005</v>
      </c>
      <c r="E34" s="119">
        <f t="shared" si="13"/>
        <v>3645.8766093750005</v>
      </c>
      <c r="F34" s="119">
        <f t="shared" si="13"/>
        <v>3645.8766093750005</v>
      </c>
      <c r="G34" s="119">
        <f t="shared" si="13"/>
        <v>3645.8766093750005</v>
      </c>
      <c r="H34" s="119">
        <f t="shared" si="13"/>
        <v>0</v>
      </c>
      <c r="I34" s="119">
        <f t="shared" si="13"/>
        <v>0</v>
      </c>
      <c r="J34" s="119">
        <f t="shared" si="13"/>
        <v>3645.8766093750005</v>
      </c>
      <c r="K34" s="119">
        <f t="shared" si="13"/>
        <v>3645.8766093750005</v>
      </c>
      <c r="L34" s="119">
        <f t="shared" si="13"/>
        <v>3645.8766093750005</v>
      </c>
      <c r="M34" s="119">
        <f t="shared" si="13"/>
        <v>3645.8766093750005</v>
      </c>
      <c r="Q34" s="114"/>
      <c r="R34" s="114"/>
      <c r="S34" s="114"/>
      <c r="T34" s="114"/>
      <c r="U34" s="114"/>
      <c r="V34" s="114"/>
      <c r="W34" s="114"/>
      <c r="X34" s="114"/>
      <c r="Y34" s="114"/>
      <c r="Z34" s="114"/>
      <c r="AA34" s="114"/>
      <c r="AB34" s="114"/>
    </row>
    <row r="35" spans="1:40" x14ac:dyDescent="0.2">
      <c r="A35" s="118" t="s">
        <v>128</v>
      </c>
      <c r="B35" s="5"/>
      <c r="C35" s="5">
        <f t="shared" ref="C35:M35" si="14">C6*10%</f>
        <v>1987.7000000000005</v>
      </c>
      <c r="D35" s="5">
        <f t="shared" si="14"/>
        <v>1987.7000000000005</v>
      </c>
      <c r="E35" s="5">
        <f t="shared" si="14"/>
        <v>1987.7000000000005</v>
      </c>
      <c r="F35" s="5">
        <f t="shared" si="14"/>
        <v>1987.7000000000005</v>
      </c>
      <c r="G35" s="5">
        <f t="shared" si="14"/>
        <v>1987.7000000000005</v>
      </c>
      <c r="H35" s="5">
        <f t="shared" si="14"/>
        <v>1987.7000000000005</v>
      </c>
      <c r="I35" s="5">
        <f t="shared" si="14"/>
        <v>0</v>
      </c>
      <c r="J35" s="5">
        <f t="shared" si="14"/>
        <v>0</v>
      </c>
      <c r="K35" s="5">
        <f t="shared" si="14"/>
        <v>1987.7000000000005</v>
      </c>
      <c r="L35" s="117">
        <f t="shared" si="14"/>
        <v>1987.7000000000005</v>
      </c>
      <c r="M35" s="5">
        <f t="shared" si="14"/>
        <v>1987.7000000000005</v>
      </c>
    </row>
    <row r="36" spans="1:40" x14ac:dyDescent="0.2">
      <c r="A36" s="1" t="s">
        <v>127</v>
      </c>
      <c r="B36" s="116">
        <f t="shared" ref="B36:M36" si="15">B7*0.2</f>
        <v>0</v>
      </c>
      <c r="C36" s="116">
        <f t="shared" si="15"/>
        <v>0</v>
      </c>
      <c r="D36" s="116">
        <f t="shared" si="15"/>
        <v>0</v>
      </c>
      <c r="E36" s="116">
        <f t="shared" si="15"/>
        <v>0</v>
      </c>
      <c r="F36" s="116">
        <f t="shared" si="15"/>
        <v>0</v>
      </c>
      <c r="G36" s="116">
        <f t="shared" si="15"/>
        <v>0</v>
      </c>
      <c r="H36" s="116">
        <f t="shared" si="15"/>
        <v>0</v>
      </c>
      <c r="I36" s="116">
        <f t="shared" si="15"/>
        <v>0</v>
      </c>
      <c r="J36" s="116">
        <f t="shared" si="15"/>
        <v>0</v>
      </c>
      <c r="K36" s="116">
        <f t="shared" si="15"/>
        <v>0</v>
      </c>
      <c r="L36" s="116">
        <f t="shared" si="15"/>
        <v>0</v>
      </c>
      <c r="M36" s="116">
        <f t="shared" si="15"/>
        <v>0</v>
      </c>
    </row>
    <row r="37" spans="1:40" x14ac:dyDescent="0.2">
      <c r="A37" s="1" t="s">
        <v>126</v>
      </c>
      <c r="B37" s="5">
        <f t="shared" ref="B37:M37" si="16">B34-B35-B36</f>
        <v>3645.8766093750005</v>
      </c>
      <c r="C37" s="5">
        <f t="shared" si="16"/>
        <v>1658.176609375</v>
      </c>
      <c r="D37" s="5">
        <f t="shared" si="16"/>
        <v>1658.176609375</v>
      </c>
      <c r="E37" s="5">
        <f t="shared" si="16"/>
        <v>1658.176609375</v>
      </c>
      <c r="F37" s="5">
        <f t="shared" si="16"/>
        <v>1658.176609375</v>
      </c>
      <c r="G37" s="5">
        <f t="shared" si="16"/>
        <v>1658.176609375</v>
      </c>
      <c r="H37" s="5">
        <f t="shared" si="16"/>
        <v>-1987.7000000000005</v>
      </c>
      <c r="I37" s="5">
        <f t="shared" si="16"/>
        <v>0</v>
      </c>
      <c r="J37" s="5">
        <f t="shared" si="16"/>
        <v>3645.8766093750005</v>
      </c>
      <c r="K37" s="5">
        <f t="shared" si="16"/>
        <v>1658.176609375</v>
      </c>
      <c r="L37" s="5">
        <f t="shared" si="16"/>
        <v>1658.176609375</v>
      </c>
      <c r="M37" s="5">
        <f t="shared" si="16"/>
        <v>1658.176609375</v>
      </c>
    </row>
    <row r="38" spans="1:40" ht="16" x14ac:dyDescent="0.2">
      <c r="A38" s="115" t="s">
        <v>125</v>
      </c>
      <c r="B38" s="5">
        <f t="shared" ref="B38:M38" si="17">B33</f>
        <v>0</v>
      </c>
      <c r="C38" s="5">
        <f t="shared" si="17"/>
        <v>3645.8766093750005</v>
      </c>
      <c r="D38" s="5">
        <f t="shared" si="17"/>
        <v>1658.176609375</v>
      </c>
      <c r="E38" s="5">
        <f t="shared" si="17"/>
        <v>1658.176609375</v>
      </c>
      <c r="F38" s="5">
        <f t="shared" si="17"/>
        <v>1658.176609375</v>
      </c>
      <c r="G38" s="5">
        <f t="shared" si="17"/>
        <v>1658.176609375</v>
      </c>
      <c r="H38" s="5">
        <f t="shared" si="17"/>
        <v>1658.176609375</v>
      </c>
      <c r="I38" s="5">
        <f t="shared" si="17"/>
        <v>-1987.7000000000005</v>
      </c>
      <c r="J38" s="5">
        <f t="shared" si="17"/>
        <v>0</v>
      </c>
      <c r="K38" s="5">
        <f t="shared" si="17"/>
        <v>3645.8766093750005</v>
      </c>
      <c r="L38" s="5">
        <f t="shared" si="17"/>
        <v>1658.176609375</v>
      </c>
      <c r="M38" s="5">
        <f t="shared" si="17"/>
        <v>1658.176609375</v>
      </c>
      <c r="AB38" s="12"/>
      <c r="AC38" s="12"/>
    </row>
    <row r="39" spans="1:40" x14ac:dyDescent="0.2">
      <c r="AC39" s="114"/>
    </row>
    <row r="40" spans="1:40" x14ac:dyDescent="0.2">
      <c r="AC40" s="114"/>
    </row>
    <row r="41" spans="1:40" x14ac:dyDescent="0.2">
      <c r="AC41" s="114"/>
    </row>
    <row r="42" spans="1:40" ht="13.75" customHeight="1" x14ac:dyDescent="0.2">
      <c r="AC42" s="114"/>
    </row>
    <row r="43" spans="1:40" x14ac:dyDescent="0.2">
      <c r="AC43" s="114"/>
    </row>
    <row r="45" spans="1:40" x14ac:dyDescent="0.2">
      <c r="B45" s="12"/>
      <c r="C45" s="12"/>
      <c r="D45" s="12"/>
      <c r="E45" s="12"/>
      <c r="F45" s="12"/>
      <c r="G45" s="12"/>
      <c r="H45" s="12"/>
      <c r="I45" s="12"/>
      <c r="J45" s="12"/>
      <c r="K45" s="12"/>
      <c r="L45" s="12"/>
      <c r="M45" s="12"/>
    </row>
    <row r="46" spans="1:40" x14ac:dyDescent="0.2">
      <c r="A46" s="113"/>
      <c r="B46" s="111"/>
      <c r="C46" s="111"/>
      <c r="D46" s="111"/>
      <c r="E46" s="111"/>
      <c r="F46" s="111"/>
      <c r="G46" s="111"/>
      <c r="H46" s="111"/>
      <c r="I46" s="111"/>
      <c r="J46" s="111"/>
      <c r="K46" s="111"/>
      <c r="L46" s="111"/>
      <c r="M46" s="111"/>
    </row>
    <row r="47" spans="1:40" x14ac:dyDescent="0.2">
      <c r="A47" s="112"/>
      <c r="B47" s="111"/>
      <c r="C47" s="111"/>
      <c r="D47" s="111"/>
      <c r="E47" s="111"/>
      <c r="F47" s="111"/>
      <c r="G47" s="111"/>
      <c r="H47" s="111"/>
      <c r="I47" s="111"/>
      <c r="J47" s="111"/>
      <c r="K47" s="111"/>
      <c r="L47" s="111"/>
      <c r="M47" s="111"/>
    </row>
    <row r="48" spans="1:40" x14ac:dyDescent="0.2">
      <c r="A48" s="112"/>
      <c r="B48" s="111"/>
      <c r="C48" s="111"/>
      <c r="D48" s="111"/>
      <c r="E48" s="111"/>
      <c r="F48" s="111"/>
      <c r="G48" s="111"/>
      <c r="H48" s="111"/>
      <c r="I48" s="111"/>
      <c r="J48" s="111"/>
      <c r="K48" s="111"/>
      <c r="L48" s="111"/>
      <c r="M48" s="111"/>
      <c r="AB48" s="12"/>
      <c r="AC48" s="84"/>
      <c r="AD48" s="84"/>
      <c r="AE48" s="84"/>
      <c r="AF48" s="84"/>
      <c r="AG48" s="84"/>
      <c r="AH48" s="84"/>
      <c r="AI48" s="84"/>
      <c r="AJ48" s="84"/>
      <c r="AK48" s="84"/>
      <c r="AL48" s="84"/>
      <c r="AM48" s="84"/>
      <c r="AN48" s="84"/>
    </row>
    <row r="49" spans="1:40" x14ac:dyDescent="0.2">
      <c r="A49" s="112"/>
      <c r="B49" s="111"/>
      <c r="C49" s="111"/>
      <c r="D49" s="111"/>
      <c r="E49" s="111"/>
      <c r="F49" s="111"/>
      <c r="G49" s="111"/>
      <c r="H49" s="111"/>
      <c r="I49" s="111"/>
      <c r="J49" s="111"/>
      <c r="K49" s="111"/>
      <c r="L49" s="111"/>
      <c r="M49" s="111"/>
      <c r="AC49" s="53"/>
      <c r="AD49" s="53"/>
      <c r="AE49" s="53"/>
      <c r="AF49" s="53"/>
      <c r="AG49" s="53"/>
      <c r="AH49" s="53"/>
      <c r="AI49" s="53"/>
      <c r="AJ49" s="53"/>
      <c r="AK49" s="53"/>
      <c r="AL49" s="53"/>
      <c r="AM49" s="53"/>
      <c r="AN49" s="53"/>
    </row>
    <row r="50" spans="1:40" x14ac:dyDescent="0.2">
      <c r="A50" s="112"/>
      <c r="B50" s="111"/>
      <c r="C50" s="111"/>
      <c r="D50" s="111"/>
      <c r="E50" s="111"/>
      <c r="F50" s="111"/>
      <c r="G50" s="111"/>
      <c r="H50" s="111"/>
      <c r="I50" s="111"/>
      <c r="J50" s="111"/>
      <c r="K50" s="111"/>
      <c r="L50" s="111"/>
      <c r="M50" s="111"/>
      <c r="AC50" s="53"/>
      <c r="AD50" s="53"/>
      <c r="AE50" s="53"/>
      <c r="AF50" s="53"/>
      <c r="AG50" s="53"/>
      <c r="AH50" s="53"/>
      <c r="AI50" s="53"/>
      <c r="AJ50" s="53"/>
      <c r="AK50" s="53"/>
      <c r="AL50" s="53"/>
      <c r="AM50" s="53"/>
      <c r="AN50" s="53"/>
    </row>
    <row r="51" spans="1:40" x14ac:dyDescent="0.2">
      <c r="A51" s="112"/>
      <c r="B51" s="111"/>
      <c r="C51" s="111"/>
      <c r="D51" s="111"/>
      <c r="E51" s="111"/>
      <c r="F51" s="111"/>
      <c r="G51" s="111"/>
      <c r="H51" s="111"/>
      <c r="I51" s="111"/>
      <c r="J51" s="111"/>
      <c r="K51" s="111"/>
      <c r="L51" s="111"/>
      <c r="M51" s="111"/>
      <c r="AC51" s="53"/>
      <c r="AD51" s="53"/>
      <c r="AE51" s="53"/>
      <c r="AF51" s="53"/>
      <c r="AG51" s="53"/>
      <c r="AH51" s="53"/>
      <c r="AI51" s="53"/>
      <c r="AJ51" s="53"/>
      <c r="AK51" s="53"/>
      <c r="AL51" s="53"/>
      <c r="AM51" s="53"/>
      <c r="AN51" s="53"/>
    </row>
    <row r="52" spans="1:40" x14ac:dyDescent="0.2">
      <c r="A52" s="112"/>
      <c r="B52" s="111"/>
      <c r="C52" s="111"/>
      <c r="D52" s="111"/>
      <c r="E52" s="111"/>
      <c r="F52" s="111"/>
      <c r="G52" s="111"/>
      <c r="H52" s="111"/>
      <c r="I52" s="111"/>
      <c r="J52" s="111"/>
      <c r="K52" s="111"/>
      <c r="L52" s="111"/>
      <c r="M52" s="111"/>
      <c r="AC52" s="53"/>
      <c r="AD52" s="53"/>
      <c r="AE52" s="53"/>
      <c r="AF52" s="53"/>
      <c r="AG52" s="53"/>
      <c r="AH52" s="53"/>
      <c r="AI52" s="53"/>
      <c r="AJ52" s="53"/>
      <c r="AK52" s="53"/>
      <c r="AL52" s="53"/>
      <c r="AM52" s="53"/>
      <c r="AN52" s="53"/>
    </row>
    <row r="53" spans="1:40" x14ac:dyDescent="0.2">
      <c r="A53" s="112"/>
      <c r="B53" s="111"/>
      <c r="C53" s="111"/>
      <c r="D53" s="111"/>
      <c r="E53" s="111"/>
      <c r="F53" s="111"/>
      <c r="G53" s="111"/>
      <c r="H53" s="111"/>
      <c r="I53" s="111"/>
      <c r="J53" s="111"/>
      <c r="K53" s="111"/>
      <c r="L53" s="111"/>
      <c r="M53" s="111"/>
      <c r="AB53" s="62"/>
      <c r="AC53" s="53"/>
      <c r="AD53" s="53"/>
      <c r="AE53" s="53"/>
      <c r="AF53" s="53"/>
      <c r="AG53" s="53"/>
      <c r="AH53" s="53"/>
      <c r="AI53" s="53"/>
      <c r="AJ53" s="53"/>
      <c r="AK53" s="53"/>
      <c r="AL53" s="53"/>
      <c r="AM53" s="53"/>
      <c r="AN53" s="53"/>
    </row>
    <row r="54" spans="1:40" x14ac:dyDescent="0.2">
      <c r="A54" s="12"/>
      <c r="B54" s="111"/>
      <c r="C54" s="111"/>
      <c r="D54" s="111"/>
      <c r="E54" s="111"/>
      <c r="F54" s="111"/>
      <c r="G54" s="111"/>
      <c r="H54" s="111"/>
      <c r="I54" s="111"/>
      <c r="J54" s="111"/>
      <c r="K54" s="111"/>
      <c r="L54" s="111"/>
      <c r="M54" s="111"/>
      <c r="AB54" s="12"/>
      <c r="AC54" s="12"/>
      <c r="AD54" s="12"/>
      <c r="AE54" s="12"/>
      <c r="AF54" s="12"/>
      <c r="AG54" s="12"/>
      <c r="AH54" s="12"/>
      <c r="AI54" s="12"/>
      <c r="AJ54" s="12"/>
      <c r="AK54" s="12"/>
      <c r="AL54" s="12"/>
      <c r="AM54" s="12"/>
      <c r="AN54" s="12"/>
    </row>
    <row r="55" spans="1:40" x14ac:dyDescent="0.2">
      <c r="AC55" s="53"/>
      <c r="AD55" s="53"/>
      <c r="AE55" s="53"/>
      <c r="AF55" s="53"/>
      <c r="AG55" s="53"/>
      <c r="AH55" s="53"/>
      <c r="AI55" s="53"/>
      <c r="AJ55" s="53"/>
      <c r="AK55" s="53"/>
      <c r="AL55" s="53"/>
      <c r="AM55" s="53"/>
      <c r="AN55" s="53"/>
    </row>
    <row r="56" spans="1:40" x14ac:dyDescent="0.2">
      <c r="AC56" s="53"/>
      <c r="AD56" s="53"/>
      <c r="AE56" s="53"/>
      <c r="AF56" s="53"/>
      <c r="AG56" s="53"/>
      <c r="AH56" s="53"/>
      <c r="AI56" s="53"/>
      <c r="AJ56" s="53"/>
      <c r="AK56" s="53"/>
      <c r="AL56" s="53"/>
      <c r="AM56" s="53"/>
      <c r="AN56" s="53"/>
    </row>
    <row r="57" spans="1:40" x14ac:dyDescent="0.2">
      <c r="AC57" s="53"/>
      <c r="AD57" s="53"/>
      <c r="AE57" s="53"/>
      <c r="AF57" s="53"/>
      <c r="AG57" s="53"/>
      <c r="AH57" s="53"/>
      <c r="AI57" s="53"/>
      <c r="AJ57" s="53"/>
      <c r="AK57" s="53"/>
      <c r="AL57" s="53"/>
      <c r="AM57" s="53"/>
      <c r="AN57" s="53"/>
    </row>
    <row r="58" spans="1:40" x14ac:dyDescent="0.2">
      <c r="AC58" s="53"/>
      <c r="AD58" s="53"/>
      <c r="AE58" s="53"/>
      <c r="AF58" s="53"/>
      <c r="AG58" s="53"/>
      <c r="AH58" s="53"/>
      <c r="AI58" s="53"/>
      <c r="AJ58" s="53"/>
      <c r="AK58" s="53"/>
      <c r="AL58" s="53"/>
      <c r="AM58" s="53"/>
      <c r="AN58" s="53"/>
    </row>
    <row r="59" spans="1:40" x14ac:dyDescent="0.2">
      <c r="AB59" s="62"/>
      <c r="AC59" s="53"/>
      <c r="AD59" s="53"/>
      <c r="AE59" s="53"/>
      <c r="AF59" s="53"/>
      <c r="AG59" s="53"/>
      <c r="AH59" s="53"/>
      <c r="AI59" s="53"/>
      <c r="AJ59" s="53"/>
      <c r="AK59" s="53"/>
      <c r="AL59" s="53"/>
      <c r="AM59" s="53"/>
      <c r="AN59" s="53"/>
    </row>
    <row r="60" spans="1:40" ht="21" x14ac:dyDescent="0.25">
      <c r="Q60" s="110"/>
      <c r="AB60" s="12"/>
      <c r="AC60" s="12"/>
      <c r="AD60" s="12"/>
      <c r="AE60" s="12"/>
      <c r="AF60" s="12"/>
      <c r="AG60" s="12"/>
      <c r="AH60" s="12"/>
      <c r="AI60" s="12"/>
      <c r="AJ60" s="12"/>
      <c r="AK60" s="12"/>
      <c r="AL60" s="12"/>
      <c r="AM60" s="12"/>
      <c r="AN60" s="12"/>
    </row>
    <row r="61" spans="1:40" ht="21" x14ac:dyDescent="0.25">
      <c r="Q61" s="110"/>
      <c r="AC61" s="53"/>
      <c r="AD61" s="53"/>
      <c r="AE61" s="53"/>
      <c r="AF61" s="53"/>
      <c r="AG61" s="53"/>
      <c r="AH61" s="53"/>
      <c r="AI61" s="53"/>
      <c r="AJ61" s="53"/>
      <c r="AK61" s="53"/>
      <c r="AL61" s="53"/>
      <c r="AM61" s="53"/>
      <c r="AN61" s="53"/>
    </row>
    <row r="62" spans="1:40" x14ac:dyDescent="0.2">
      <c r="AB62" s="62"/>
      <c r="AC62" s="53"/>
      <c r="AD62" s="53"/>
      <c r="AE62" s="53"/>
      <c r="AF62" s="53"/>
      <c r="AG62" s="53"/>
      <c r="AH62" s="53"/>
      <c r="AI62" s="53"/>
      <c r="AJ62" s="53"/>
      <c r="AK62" s="53"/>
      <c r="AL62" s="53"/>
      <c r="AM62" s="53"/>
      <c r="AN62" s="53"/>
    </row>
    <row r="63" spans="1:40" x14ac:dyDescent="0.2">
      <c r="AC63" s="53"/>
      <c r="AD63" s="53"/>
      <c r="AE63" s="53"/>
      <c r="AF63" s="53"/>
      <c r="AG63" s="53"/>
      <c r="AH63" s="53"/>
      <c r="AI63" s="53"/>
      <c r="AJ63" s="53"/>
      <c r="AK63" s="53"/>
      <c r="AL63" s="53"/>
      <c r="AM63" s="53"/>
      <c r="AN63" s="53"/>
    </row>
    <row r="64" spans="1:40" x14ac:dyDescent="0.2">
      <c r="AC64" s="53"/>
      <c r="AD64" s="53"/>
      <c r="AE64" s="53"/>
      <c r="AF64" s="53"/>
      <c r="AG64" s="53"/>
      <c r="AH64" s="53"/>
      <c r="AI64" s="53"/>
      <c r="AJ64" s="53"/>
      <c r="AK64" s="53"/>
      <c r="AL64" s="53"/>
      <c r="AM64" s="53"/>
      <c r="AN64" s="53"/>
    </row>
    <row r="65" spans="28:40" x14ac:dyDescent="0.2">
      <c r="AC65" s="53"/>
      <c r="AD65" s="53"/>
      <c r="AE65" s="53"/>
      <c r="AF65" s="53"/>
      <c r="AG65" s="53"/>
      <c r="AH65" s="53"/>
      <c r="AI65" s="53"/>
      <c r="AJ65" s="53"/>
      <c r="AK65" s="53"/>
      <c r="AL65" s="53"/>
      <c r="AM65" s="53"/>
      <c r="AN65" s="53"/>
    </row>
    <row r="66" spans="28:40" x14ac:dyDescent="0.2">
      <c r="AB66" s="62"/>
      <c r="AC66" s="53"/>
      <c r="AD66" s="53"/>
      <c r="AE66" s="53"/>
      <c r="AF66" s="53"/>
      <c r="AG66" s="53"/>
      <c r="AH66" s="53"/>
      <c r="AI66" s="53"/>
      <c r="AJ66" s="53"/>
      <c r="AK66" s="53"/>
      <c r="AL66" s="53"/>
      <c r="AM66" s="53"/>
      <c r="AN66" s="53"/>
    </row>
  </sheetData>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Feuilles de calcul</vt:lpstr>
      </vt:variant>
      <vt:variant>
        <vt:i4>9</vt:i4>
      </vt:variant>
    </vt:vector>
  </HeadingPairs>
  <TitlesOfParts>
    <vt:vector size="9" baseType="lpstr">
      <vt:lpstr>Compte de résultat</vt:lpstr>
      <vt:lpstr>Seuil de rentabilité</vt:lpstr>
      <vt:lpstr>Compte de résultat Hyphotèse P</vt:lpstr>
      <vt:lpstr>Compte de résultat H Optimiste</vt:lpstr>
      <vt:lpstr>Amortissement</vt:lpstr>
      <vt:lpstr>Plan de financement</vt:lpstr>
      <vt:lpstr>Plan de trésorerie N</vt:lpstr>
      <vt:lpstr>Plan de trésorerie N+1</vt:lpstr>
      <vt:lpstr>Plan de trésorerie 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THEVENON Antonin</dc:creator>
  <cp:lastModifiedBy>Mohammed Benameur</cp:lastModifiedBy>
  <dcterms:created xsi:type="dcterms:W3CDTF">2022-12-09T12:59:51Z</dcterms:created>
  <dcterms:modified xsi:type="dcterms:W3CDTF">2026-01-22T10:25:38Z</dcterms:modified>
</cp:coreProperties>
</file>